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mc:AlternateContent xmlns:mc="http://schemas.openxmlformats.org/markup-compatibility/2006">
    <mc:Choice Requires="x15">
      <x15ac:absPath xmlns:x15ac="http://schemas.microsoft.com/office/spreadsheetml/2010/11/ac" url="https://sgs-my.sharepoint.com/personal/eason-ml_lin_sgs_com/Documents/桌面/電子表單/"/>
    </mc:Choice>
  </mc:AlternateContent>
  <xr:revisionPtr revIDLastSave="1008" documentId="8_{33FC5FA4-8CC6-4369-921F-2A4B9D641282}" xr6:coauthVersionLast="47" xr6:coauthVersionMax="47" xr10:uidLastSave="{95751CA2-1C80-1E40-B68D-B89C0F2A0089}"/>
  <bookViews>
    <workbookView xWindow="-28920" yWindow="-120" windowWidth="29040" windowHeight="15720" tabRatio="801" activeTab="2" xr2:uid="{00000000-000D-0000-FFFF-FFFF00000000}"/>
  </bookViews>
  <sheets>
    <sheet name="裝櫃表格" sheetId="90" r:id="rId1"/>
    <sheet name="櫃號表格" sheetId="93" r:id="rId2"/>
    <sheet name="damage表格" sheetId="83" r:id="rId3"/>
    <sheet name="高鳳表單" sheetId="92" r:id="rId4"/>
    <sheet name="客戶名稱" sheetId="88" r:id="rId5"/>
    <sheet name="工作表2" sheetId="89" state="hidden" r:id="rId6"/>
    <sheet name="草稿" sheetId="91" r:id="rId7"/>
    <sheet name="Doc" sheetId="67" state="hidden" r:id="rId8"/>
    <sheet name="Origin-SGS" sheetId="66" state="hidden" r:id="rId9"/>
  </sheets>
  <definedNames>
    <definedName name="_Hlk79142210" localSheetId="5">工作表2!$D$22</definedName>
    <definedName name="_xlnm.Print_Area" localSheetId="2">damage表格!$A$1:$V$61</definedName>
    <definedName name="_xlnm.Print_Area" localSheetId="7">Doc!$A$1:$Z$39</definedName>
    <definedName name="_xlnm.Print_Area" localSheetId="8">'Origin-SGS'!$A$1:$Z$40</definedName>
    <definedName name="_xlnm.Print_Area" localSheetId="6">草稿!$A$1:$X$149</definedName>
    <definedName name="_xlnm.Print_Area" localSheetId="0">裝櫃表格!$A$1:$Z$56</definedName>
    <definedName name="_xlnm.Print_Area" localSheetId="1">櫃號表格!$A$1:$S$87</definedName>
    <definedName name="Table">草稿!$E$12:$X$28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A1" i="90" l="1"/>
  <c r="E75" i="88"/>
  <c r="S37" i="90"/>
  <c r="S38" i="90"/>
  <c r="S39" i="90"/>
  <c r="S40" i="90"/>
  <c r="S41" i="90"/>
  <c r="S42" i="90"/>
  <c r="S43" i="90"/>
  <c r="S44" i="90"/>
  <c r="S45" i="90"/>
  <c r="S46" i="90"/>
  <c r="S47" i="90"/>
  <c r="S48" i="90"/>
  <c r="S49" i="90"/>
  <c r="S50" i="90"/>
  <c r="S51" i="90"/>
  <c r="S36" i="90"/>
  <c r="AB51" i="90"/>
  <c r="AB37" i="90"/>
  <c r="AB38" i="90"/>
  <c r="AB39" i="90"/>
  <c r="AB40" i="90"/>
  <c r="AB41" i="90"/>
  <c r="AB42" i="90"/>
  <c r="AB43" i="90"/>
  <c r="AB44" i="90"/>
  <c r="AB45" i="90"/>
  <c r="AB46" i="90"/>
  <c r="AB47" i="90"/>
  <c r="AB48" i="90"/>
  <c r="AB49" i="90"/>
  <c r="AB50" i="90"/>
  <c r="AB36" i="90"/>
  <c r="AT56" i="90"/>
  <c r="AT55" i="90"/>
  <c r="AT54" i="90"/>
  <c r="C66" i="90"/>
  <c r="AS60" i="90"/>
  <c r="AR60" i="90"/>
  <c r="C67" i="90" s="1"/>
  <c r="E45" i="91"/>
  <c r="J2" i="91"/>
  <c r="I10" i="90"/>
  <c r="E32" i="91" s="1"/>
  <c r="E3" i="88"/>
  <c r="E33" i="88"/>
  <c r="E34" i="88"/>
  <c r="E35" i="88"/>
  <c r="E36" i="88"/>
  <c r="E4" i="88"/>
  <c r="E37" i="88"/>
  <c r="E5" i="88"/>
  <c r="E38" i="88"/>
  <c r="E6" i="88"/>
  <c r="E7" i="88"/>
  <c r="E8" i="88"/>
  <c r="E9" i="88"/>
  <c r="E10" i="88"/>
  <c r="E11" i="88"/>
  <c r="E39" i="88"/>
  <c r="E12" i="88"/>
  <c r="E40" i="88"/>
  <c r="E41" i="88"/>
  <c r="E42" i="88"/>
  <c r="E43" i="88"/>
  <c r="E13" i="88"/>
  <c r="E14" i="88"/>
  <c r="E44" i="88"/>
  <c r="E15" i="88"/>
  <c r="E16" i="88"/>
  <c r="E17" i="88"/>
  <c r="E45" i="88"/>
  <c r="E18" i="88"/>
  <c r="E46" i="88"/>
  <c r="E47" i="88"/>
  <c r="E48" i="88"/>
  <c r="E49" i="88"/>
  <c r="E50" i="88"/>
  <c r="E51" i="88"/>
  <c r="E52" i="88"/>
  <c r="E53" i="88"/>
  <c r="E54" i="88"/>
  <c r="E55" i="88"/>
  <c r="E56" i="88"/>
  <c r="E19" i="88"/>
  <c r="E57" i="88"/>
  <c r="E20" i="88"/>
  <c r="E21" i="88"/>
  <c r="E58" i="88"/>
  <c r="E59" i="88"/>
  <c r="E22" i="88"/>
  <c r="E23" i="88"/>
  <c r="E24" i="88"/>
  <c r="E60" i="88"/>
  <c r="E61" i="88"/>
  <c r="E62" i="88"/>
  <c r="E25" i="88"/>
  <c r="E63" i="88"/>
  <c r="E26" i="88"/>
  <c r="E27" i="88"/>
  <c r="E28" i="88"/>
  <c r="E64" i="88"/>
  <c r="E65" i="88"/>
  <c r="E66" i="88"/>
  <c r="E67" i="88"/>
  <c r="E68" i="88"/>
  <c r="E69" i="88"/>
  <c r="E29" i="88"/>
  <c r="E70" i="88"/>
  <c r="E71" i="88"/>
  <c r="E72" i="88"/>
  <c r="E73" i="88"/>
  <c r="E30" i="88"/>
  <c r="E74" i="88"/>
  <c r="E31" i="88"/>
  <c r="E76" i="88"/>
  <c r="E77" i="88"/>
  <c r="E32" i="88"/>
  <c r="E2" i="88"/>
  <c r="AC15" i="90" l="1" a="1"/>
  <c r="AC15" i="90" s="1"/>
  <c r="AC12" i="90" a="1"/>
  <c r="AC12" i="90" s="1"/>
  <c r="G14" i="90" s="1"/>
  <c r="AC18" i="90" a="1"/>
  <c r="AC18" i="90" s="1"/>
  <c r="AC11" i="90" a="1"/>
  <c r="AC11" i="90" s="1"/>
  <c r="AC10" i="90" a="1"/>
  <c r="AC10" i="90" s="1"/>
  <c r="AC14" i="90" a="1"/>
  <c r="AC14" i="90" s="1"/>
  <c r="E16" i="90" s="1"/>
  <c r="AC17" i="90" a="1"/>
  <c r="AC17" i="90" s="1"/>
  <c r="AC13" i="90" a="1"/>
  <c r="AC13" i="90" s="1"/>
  <c r="AC16" i="90" a="1"/>
  <c r="AC16" i="90" s="1"/>
  <c r="E18" i="90" s="1"/>
  <c r="E34" i="91"/>
  <c r="BA9" i="83" a="1"/>
  <c r="BA9" i="83" s="1"/>
  <c r="AQ7" i="83"/>
  <c r="AP7" i="83"/>
  <c r="AO7" i="83"/>
  <c r="AN7" i="83"/>
  <c r="AM7" i="83"/>
  <c r="AL7" i="83"/>
  <c r="E59" i="91"/>
  <c r="Q59" i="91"/>
  <c r="E60" i="91"/>
  <c r="Q60" i="91"/>
  <c r="E61" i="91"/>
  <c r="Q61" i="91"/>
  <c r="E62" i="91"/>
  <c r="Q62" i="91"/>
  <c r="E63" i="91"/>
  <c r="Q63" i="91"/>
  <c r="E64" i="91"/>
  <c r="Q64" i="91"/>
  <c r="E65" i="91"/>
  <c r="Q65" i="91"/>
  <c r="E66" i="91"/>
  <c r="Q66" i="91"/>
  <c r="E67" i="91"/>
  <c r="Q67" i="91"/>
  <c r="E68" i="91"/>
  <c r="Q68" i="91"/>
  <c r="E69" i="91"/>
  <c r="Q69" i="91"/>
  <c r="E70" i="91"/>
  <c r="Q70" i="91"/>
  <c r="E71" i="91"/>
  <c r="Q71" i="91"/>
  <c r="E72" i="91"/>
  <c r="Q72" i="91"/>
  <c r="E73" i="91"/>
  <c r="Q73" i="91"/>
  <c r="E74" i="91"/>
  <c r="Q74" i="91"/>
  <c r="E75" i="91"/>
  <c r="Q75" i="91"/>
  <c r="E76" i="91"/>
  <c r="Q76" i="91"/>
  <c r="E77" i="91"/>
  <c r="Q77" i="91"/>
  <c r="E78" i="91"/>
  <c r="Q78" i="91"/>
  <c r="E79" i="91"/>
  <c r="Q79" i="91"/>
  <c r="E80" i="91"/>
  <c r="Q80" i="91"/>
  <c r="E81" i="91"/>
  <c r="Q81" i="91"/>
  <c r="E82" i="91"/>
  <c r="Q82" i="91"/>
  <c r="E83" i="91"/>
  <c r="Q83" i="91"/>
  <c r="E84" i="91"/>
  <c r="Q84" i="91"/>
  <c r="E85" i="91"/>
  <c r="Q85" i="91"/>
  <c r="E86" i="91"/>
  <c r="Q86" i="91"/>
  <c r="E87" i="91"/>
  <c r="Q87" i="91"/>
  <c r="E88" i="91"/>
  <c r="Q88" i="91"/>
  <c r="E89" i="91"/>
  <c r="Q89" i="91"/>
  <c r="E90" i="91"/>
  <c r="Q90" i="91"/>
  <c r="E91" i="91"/>
  <c r="Q91" i="91"/>
  <c r="E92" i="91"/>
  <c r="Q92" i="91"/>
  <c r="E93" i="91"/>
  <c r="Q93" i="91"/>
  <c r="E94" i="91"/>
  <c r="Q94" i="91"/>
  <c r="E95" i="91"/>
  <c r="Q95" i="91"/>
  <c r="E96" i="91"/>
  <c r="Q96" i="91"/>
  <c r="E97" i="91"/>
  <c r="Q97" i="91"/>
  <c r="E98" i="91"/>
  <c r="Q98" i="91"/>
  <c r="E99" i="91"/>
  <c r="Q99" i="91"/>
  <c r="E100" i="91"/>
  <c r="Q100" i="91"/>
  <c r="E101" i="91"/>
  <c r="Q101" i="91"/>
  <c r="E102" i="91"/>
  <c r="Q102" i="91"/>
  <c r="E103" i="91"/>
  <c r="Q103" i="91"/>
  <c r="E104" i="91"/>
  <c r="Q104" i="91"/>
  <c r="E105" i="91"/>
  <c r="Q105" i="91"/>
  <c r="E106" i="91"/>
  <c r="Q106" i="91"/>
  <c r="E107" i="91"/>
  <c r="Q107" i="91"/>
  <c r="E108" i="91"/>
  <c r="Q108" i="91"/>
  <c r="E109" i="91"/>
  <c r="Q109" i="91"/>
  <c r="E110" i="91"/>
  <c r="Q110" i="91"/>
  <c r="E111" i="91"/>
  <c r="Q111" i="91"/>
  <c r="E112" i="91"/>
  <c r="Q112" i="91"/>
  <c r="E113" i="91"/>
  <c r="Q113" i="91"/>
  <c r="E114" i="91"/>
  <c r="Q114" i="91"/>
  <c r="E115" i="91"/>
  <c r="Q115" i="91"/>
  <c r="E116" i="91"/>
  <c r="Q116" i="91"/>
  <c r="E117" i="91"/>
  <c r="Q117" i="91"/>
  <c r="E118" i="91"/>
  <c r="Q118" i="91"/>
  <c r="E119" i="91"/>
  <c r="Q119" i="91"/>
  <c r="E120" i="91"/>
  <c r="Q120" i="91"/>
  <c r="E121" i="91"/>
  <c r="Q121" i="91"/>
  <c r="E122" i="91"/>
  <c r="Q122" i="91"/>
  <c r="E123" i="91"/>
  <c r="Q123" i="91"/>
  <c r="E124" i="91"/>
  <c r="Q124" i="91"/>
  <c r="E125" i="91"/>
  <c r="Q125" i="91"/>
  <c r="E126" i="91"/>
  <c r="Q126" i="91"/>
  <c r="E127" i="91"/>
  <c r="Q127" i="91"/>
  <c r="E128" i="91"/>
  <c r="Q128" i="91"/>
  <c r="E129" i="91"/>
  <c r="Q129" i="91"/>
  <c r="E130" i="91"/>
  <c r="Q130" i="91"/>
  <c r="E131" i="91"/>
  <c r="Q131" i="91"/>
  <c r="E132" i="91"/>
  <c r="Q132" i="91"/>
  <c r="E133" i="91"/>
  <c r="Q133" i="91"/>
  <c r="E134" i="91"/>
  <c r="Q134" i="91"/>
  <c r="E135" i="91"/>
  <c r="Q135" i="91"/>
  <c r="E136" i="91"/>
  <c r="Q136" i="91"/>
  <c r="E137" i="91"/>
  <c r="Q137" i="91"/>
  <c r="E138" i="91"/>
  <c r="Q138" i="91"/>
  <c r="E139" i="91"/>
  <c r="Q139" i="91"/>
  <c r="E10" i="83"/>
  <c r="E11" i="83"/>
  <c r="E12" i="83"/>
  <c r="E13" i="83"/>
  <c r="E14" i="83"/>
  <c r="E15" i="83"/>
  <c r="E16" i="83"/>
  <c r="E17" i="83"/>
  <c r="E18" i="83"/>
  <c r="E19" i="83"/>
  <c r="E20" i="83"/>
  <c r="E21" i="83"/>
  <c r="E22" i="83"/>
  <c r="E23" i="83"/>
  <c r="E24" i="83"/>
  <c r="BF9" i="83" a="1"/>
  <c r="BF9" i="83" s="1"/>
  <c r="BA10" i="83" a="1"/>
  <c r="BA10" i="83" s="1"/>
  <c r="BF10" i="83" a="1"/>
  <c r="BF10" i="83" s="1"/>
  <c r="BA11" i="83" a="1"/>
  <c r="BA11" i="83" s="1"/>
  <c r="BF11" i="83" a="1"/>
  <c r="BF11" i="83" s="1"/>
  <c r="BA12" i="83" a="1"/>
  <c r="BA12" i="83" s="1"/>
  <c r="BF12" i="83" a="1"/>
  <c r="BF12" i="83" s="1"/>
  <c r="BA13" i="83" a="1"/>
  <c r="BA13" i="83" s="1"/>
  <c r="BF13" i="83" a="1"/>
  <c r="BF13" i="83" s="1"/>
  <c r="BA14" i="83" a="1"/>
  <c r="BA14" i="83" s="1"/>
  <c r="BF14" i="83" a="1"/>
  <c r="BF14" i="83" s="1"/>
  <c r="BA15" i="83" a="1"/>
  <c r="BA15" i="83" s="1"/>
  <c r="BF15" i="83" a="1"/>
  <c r="BF15" i="83" s="1"/>
  <c r="BA16" i="83" a="1"/>
  <c r="BA16" i="83" s="1"/>
  <c r="BF16" i="83" a="1"/>
  <c r="BF16" i="83" s="1"/>
  <c r="BA17" i="83" a="1"/>
  <c r="BA17" i="83" s="1"/>
  <c r="BF17" i="83" a="1"/>
  <c r="BF17" i="83" s="1"/>
  <c r="BA18" i="83" a="1"/>
  <c r="BA18" i="83" s="1"/>
  <c r="W18" i="83" s="1"/>
  <c r="BF18" i="83" a="1"/>
  <c r="BF18" i="83" s="1"/>
  <c r="BA19" i="83" a="1"/>
  <c r="BA19" i="83" s="1"/>
  <c r="BF19" i="83" a="1"/>
  <c r="BF19" i="83" s="1"/>
  <c r="BA20" i="83" a="1"/>
  <c r="BA20" i="83" s="1"/>
  <c r="BF20" i="83" a="1"/>
  <c r="BF20" i="83" s="1"/>
  <c r="BA21" i="83" a="1"/>
  <c r="BA21" i="83" s="1"/>
  <c r="BF21" i="83" a="1"/>
  <c r="BF21" i="83" s="1"/>
  <c r="BA22" i="83" a="1"/>
  <c r="BA22" i="83" s="1"/>
  <c r="BF22" i="83" a="1"/>
  <c r="BF22" i="83" s="1"/>
  <c r="BA23" i="83" a="1"/>
  <c r="BA23" i="83" s="1"/>
  <c r="BF23" i="83" a="1"/>
  <c r="BF23" i="83" s="1"/>
  <c r="BA24" i="83" a="1"/>
  <c r="BA24" i="83" s="1"/>
  <c r="BF24" i="83" a="1"/>
  <c r="BF24" i="83" s="1"/>
  <c r="BF8" i="83" a="1"/>
  <c r="BF8" i="83" s="1"/>
  <c r="BA8" i="83" a="1"/>
  <c r="BA8" i="83" s="1"/>
  <c r="W20" i="83" l="1"/>
  <c r="W14" i="83"/>
  <c r="W22" i="83"/>
  <c r="W16" i="83"/>
  <c r="W21" i="83"/>
  <c r="W15" i="83"/>
  <c r="W19" i="83"/>
  <c r="W17" i="83"/>
  <c r="W13" i="83"/>
  <c r="W23" i="83"/>
  <c r="W11" i="83"/>
  <c r="W10" i="83"/>
  <c r="W9" i="83"/>
  <c r="E9" i="83" s="1"/>
  <c r="W8" i="83"/>
  <c r="E8" i="83" s="1"/>
  <c r="W24" i="83"/>
  <c r="W12" i="83"/>
  <c r="O4" i="93" l="1"/>
  <c r="AJ8" i="93"/>
  <c r="AJ9" i="93"/>
  <c r="AJ10" i="93"/>
  <c r="AJ11" i="93"/>
  <c r="AJ12" i="93"/>
  <c r="AJ13" i="93"/>
  <c r="AJ14" i="93"/>
  <c r="AJ15" i="93"/>
  <c r="AJ16" i="93"/>
  <c r="AJ17" i="93"/>
  <c r="AJ18" i="93"/>
  <c r="AJ19" i="93"/>
  <c r="AJ20" i="93"/>
  <c r="AJ21" i="93"/>
  <c r="AJ22" i="93"/>
  <c r="AJ23" i="93"/>
  <c r="AJ24" i="93"/>
  <c r="AJ25" i="93"/>
  <c r="AJ26" i="93"/>
  <c r="AJ27" i="93"/>
  <c r="AJ28" i="93"/>
  <c r="AJ29" i="93"/>
  <c r="AJ30" i="93"/>
  <c r="AJ31" i="93"/>
  <c r="AJ32" i="93"/>
  <c r="AJ33" i="93"/>
  <c r="AJ34" i="93"/>
  <c r="AJ35" i="93"/>
  <c r="AJ36" i="93"/>
  <c r="AJ37" i="93"/>
  <c r="AJ38" i="93"/>
  <c r="AJ39" i="93"/>
  <c r="AJ40" i="93"/>
  <c r="AJ41" i="93"/>
  <c r="AJ42" i="93"/>
  <c r="AJ43" i="93"/>
  <c r="AJ44" i="93"/>
  <c r="AJ45" i="93"/>
  <c r="AJ46" i="93"/>
  <c r="AJ47" i="93"/>
  <c r="AJ48" i="93"/>
  <c r="AJ49" i="93"/>
  <c r="AJ50" i="93"/>
  <c r="AJ51" i="93"/>
  <c r="AJ52" i="93"/>
  <c r="AJ53" i="93"/>
  <c r="AJ54" i="93"/>
  <c r="AJ55" i="93"/>
  <c r="AJ56" i="93"/>
  <c r="AJ57" i="93"/>
  <c r="AJ58" i="93"/>
  <c r="AJ59" i="93"/>
  <c r="AJ60" i="93"/>
  <c r="AJ61" i="93"/>
  <c r="AJ62" i="93"/>
  <c r="AJ63" i="93"/>
  <c r="AJ64" i="93"/>
  <c r="AJ65" i="93"/>
  <c r="AJ66" i="93"/>
  <c r="AJ67" i="93"/>
  <c r="AJ68" i="93"/>
  <c r="AJ69" i="93"/>
  <c r="AJ70" i="93"/>
  <c r="AJ71" i="93"/>
  <c r="AJ72" i="93"/>
  <c r="AJ73" i="93"/>
  <c r="AJ74" i="93"/>
  <c r="AJ75" i="93"/>
  <c r="AJ76" i="93"/>
  <c r="AJ77" i="93"/>
  <c r="AJ78" i="93"/>
  <c r="AJ79" i="93"/>
  <c r="AJ80" i="93"/>
  <c r="AJ81" i="93"/>
  <c r="AJ82" i="93"/>
  <c r="AJ83" i="93"/>
  <c r="AJ84" i="93"/>
  <c r="AJ85" i="93"/>
  <c r="AJ86" i="93"/>
  <c r="AJ87" i="93"/>
  <c r="AJ7" i="93"/>
  <c r="M8" i="93"/>
  <c r="M9" i="93"/>
  <c r="M10" i="93"/>
  <c r="M11" i="93"/>
  <c r="M12" i="93"/>
  <c r="M13" i="93"/>
  <c r="M14" i="93"/>
  <c r="M15" i="93"/>
  <c r="M16" i="93"/>
  <c r="M17" i="93"/>
  <c r="M18" i="93"/>
  <c r="M19" i="93"/>
  <c r="M20" i="93"/>
  <c r="M21" i="93"/>
  <c r="M22" i="93"/>
  <c r="M23" i="93"/>
  <c r="M24" i="93"/>
  <c r="M25" i="93"/>
  <c r="M26" i="93"/>
  <c r="M27" i="93"/>
  <c r="M28" i="93"/>
  <c r="M29" i="93"/>
  <c r="M30" i="93"/>
  <c r="M31" i="93"/>
  <c r="M32" i="93"/>
  <c r="M33" i="93"/>
  <c r="M34" i="93"/>
  <c r="M35" i="93"/>
  <c r="M36" i="93"/>
  <c r="M37" i="93"/>
  <c r="M38" i="93"/>
  <c r="M39" i="93"/>
  <c r="M40" i="93"/>
  <c r="M41" i="93"/>
  <c r="M42" i="93"/>
  <c r="M43" i="93"/>
  <c r="M44" i="93"/>
  <c r="M45" i="93"/>
  <c r="M46" i="93"/>
  <c r="M47" i="93"/>
  <c r="M48" i="93"/>
  <c r="M49" i="93"/>
  <c r="M50" i="93"/>
  <c r="M51" i="93"/>
  <c r="M52" i="93"/>
  <c r="M53" i="93"/>
  <c r="M54" i="93"/>
  <c r="M55" i="93"/>
  <c r="M56" i="93"/>
  <c r="M57" i="93"/>
  <c r="M58" i="93"/>
  <c r="M59" i="93"/>
  <c r="M60" i="93"/>
  <c r="M61" i="93"/>
  <c r="M62" i="93"/>
  <c r="M63" i="93"/>
  <c r="M64" i="93"/>
  <c r="M65" i="93"/>
  <c r="M66" i="93"/>
  <c r="M67" i="93"/>
  <c r="M68" i="93"/>
  <c r="M69" i="93"/>
  <c r="M70" i="93"/>
  <c r="M71" i="93"/>
  <c r="M72" i="93"/>
  <c r="M73" i="93"/>
  <c r="M74" i="93"/>
  <c r="M75" i="93"/>
  <c r="M76" i="93"/>
  <c r="M77" i="93"/>
  <c r="M78" i="93"/>
  <c r="M79" i="93"/>
  <c r="M80" i="93"/>
  <c r="M81" i="93"/>
  <c r="M82" i="93"/>
  <c r="M83" i="93"/>
  <c r="M84" i="93"/>
  <c r="M85" i="93"/>
  <c r="M86" i="93"/>
  <c r="M87" i="93"/>
  <c r="M7" i="93"/>
  <c r="A8" i="93"/>
  <c r="F8" i="93" s="1"/>
  <c r="J59" i="91" s="1"/>
  <c r="A9" i="93"/>
  <c r="F9" i="93" s="1"/>
  <c r="J60" i="91" s="1"/>
  <c r="A10" i="93"/>
  <c r="F10" i="93" s="1"/>
  <c r="J61" i="91" s="1"/>
  <c r="A11" i="93"/>
  <c r="F11" i="93" s="1"/>
  <c r="J62" i="91" s="1"/>
  <c r="A12" i="93"/>
  <c r="F12" i="93" s="1"/>
  <c r="J63" i="91" s="1"/>
  <c r="A13" i="93"/>
  <c r="A14" i="93"/>
  <c r="F14" i="93" s="1"/>
  <c r="J65" i="91" s="1"/>
  <c r="A15" i="93"/>
  <c r="F15" i="93" s="1"/>
  <c r="J66" i="91" s="1"/>
  <c r="A16" i="93"/>
  <c r="F16" i="93" s="1"/>
  <c r="J67" i="91" s="1"/>
  <c r="A17" i="93"/>
  <c r="F17" i="93" s="1"/>
  <c r="J68" i="91" s="1"/>
  <c r="A18" i="93"/>
  <c r="F18" i="93" s="1"/>
  <c r="J69" i="91" s="1"/>
  <c r="A19" i="93"/>
  <c r="F19" i="93" s="1"/>
  <c r="J70" i="91" s="1"/>
  <c r="A20" i="93"/>
  <c r="F20" i="93" s="1"/>
  <c r="J71" i="91" s="1"/>
  <c r="A21" i="93"/>
  <c r="F21" i="93" s="1"/>
  <c r="J72" i="91" s="1"/>
  <c r="A22" i="93"/>
  <c r="F22" i="93" s="1"/>
  <c r="J73" i="91" s="1"/>
  <c r="A23" i="93"/>
  <c r="F23" i="93" s="1"/>
  <c r="J74" i="91" s="1"/>
  <c r="A24" i="93"/>
  <c r="F24" i="93" s="1"/>
  <c r="J75" i="91" s="1"/>
  <c r="A25" i="93"/>
  <c r="A26" i="93"/>
  <c r="F26" i="93" s="1"/>
  <c r="J77" i="91" s="1"/>
  <c r="A27" i="93"/>
  <c r="F27" i="93" s="1"/>
  <c r="J78" i="91" s="1"/>
  <c r="A28" i="93"/>
  <c r="F28" i="93" s="1"/>
  <c r="J79" i="91" s="1"/>
  <c r="A29" i="93"/>
  <c r="F29" i="93" s="1"/>
  <c r="J80" i="91" s="1"/>
  <c r="A30" i="93"/>
  <c r="F30" i="93" s="1"/>
  <c r="J81" i="91" s="1"/>
  <c r="A31" i="93"/>
  <c r="F31" i="93" s="1"/>
  <c r="J82" i="91" s="1"/>
  <c r="A32" i="93"/>
  <c r="F32" i="93" s="1"/>
  <c r="J83" i="91" s="1"/>
  <c r="A33" i="93"/>
  <c r="F33" i="93" s="1"/>
  <c r="J84" i="91" s="1"/>
  <c r="A34" i="93"/>
  <c r="F34" i="93" s="1"/>
  <c r="J85" i="91" s="1"/>
  <c r="A35" i="93"/>
  <c r="F35" i="93" s="1"/>
  <c r="J86" i="91" s="1"/>
  <c r="A36" i="93"/>
  <c r="F36" i="93" s="1"/>
  <c r="J87" i="91" s="1"/>
  <c r="A37" i="93"/>
  <c r="F37" i="93" s="1"/>
  <c r="J88" i="91" s="1"/>
  <c r="A38" i="93"/>
  <c r="F38" i="93" s="1"/>
  <c r="J89" i="91" s="1"/>
  <c r="A39" i="93"/>
  <c r="F39" i="93" s="1"/>
  <c r="J90" i="91" s="1"/>
  <c r="A40" i="93"/>
  <c r="F40" i="93" s="1"/>
  <c r="J91" i="91" s="1"/>
  <c r="A41" i="93"/>
  <c r="F41" i="93" s="1"/>
  <c r="J92" i="91" s="1"/>
  <c r="A42" i="93"/>
  <c r="F42" i="93" s="1"/>
  <c r="J93" i="91" s="1"/>
  <c r="A43" i="93"/>
  <c r="F43" i="93" s="1"/>
  <c r="J94" i="91" s="1"/>
  <c r="A44" i="93"/>
  <c r="F44" i="93" s="1"/>
  <c r="J95" i="91" s="1"/>
  <c r="A45" i="93"/>
  <c r="F45" i="93" s="1"/>
  <c r="J96" i="91" s="1"/>
  <c r="A46" i="93"/>
  <c r="F46" i="93" s="1"/>
  <c r="J97" i="91" s="1"/>
  <c r="A47" i="93"/>
  <c r="F47" i="93" s="1"/>
  <c r="J98" i="91" s="1"/>
  <c r="A48" i="93"/>
  <c r="F48" i="93" s="1"/>
  <c r="J99" i="91" s="1"/>
  <c r="A49" i="93"/>
  <c r="A50" i="93"/>
  <c r="F50" i="93" s="1"/>
  <c r="J101" i="91" s="1"/>
  <c r="A51" i="93"/>
  <c r="F51" i="93" s="1"/>
  <c r="J102" i="91" s="1"/>
  <c r="A52" i="93"/>
  <c r="F52" i="93" s="1"/>
  <c r="J103" i="91" s="1"/>
  <c r="A53" i="93"/>
  <c r="F53" i="93" s="1"/>
  <c r="J104" i="91" s="1"/>
  <c r="A54" i="93"/>
  <c r="F54" i="93" s="1"/>
  <c r="J105" i="91" s="1"/>
  <c r="A55" i="93"/>
  <c r="F55" i="93" s="1"/>
  <c r="J106" i="91" s="1"/>
  <c r="A56" i="93"/>
  <c r="F56" i="93" s="1"/>
  <c r="J107" i="91" s="1"/>
  <c r="A57" i="93"/>
  <c r="F57" i="93" s="1"/>
  <c r="J108" i="91" s="1"/>
  <c r="A58" i="93"/>
  <c r="F58" i="93" s="1"/>
  <c r="J109" i="91" s="1"/>
  <c r="A59" i="93"/>
  <c r="F59" i="93" s="1"/>
  <c r="J110" i="91" s="1"/>
  <c r="A60" i="93"/>
  <c r="F60" i="93" s="1"/>
  <c r="J111" i="91" s="1"/>
  <c r="A61" i="93"/>
  <c r="A62" i="93"/>
  <c r="F62" i="93" s="1"/>
  <c r="J113" i="91" s="1"/>
  <c r="A63" i="93"/>
  <c r="F63" i="93" s="1"/>
  <c r="J114" i="91" s="1"/>
  <c r="A64" i="93"/>
  <c r="F64" i="93" s="1"/>
  <c r="J115" i="91" s="1"/>
  <c r="A65" i="93"/>
  <c r="F65" i="93" s="1"/>
  <c r="J116" i="91" s="1"/>
  <c r="A66" i="93"/>
  <c r="F66" i="93" s="1"/>
  <c r="J117" i="91" s="1"/>
  <c r="A67" i="93"/>
  <c r="F67" i="93" s="1"/>
  <c r="J118" i="91" s="1"/>
  <c r="A68" i="93"/>
  <c r="F68" i="93" s="1"/>
  <c r="J119" i="91" s="1"/>
  <c r="A69" i="93"/>
  <c r="F69" i="93" s="1"/>
  <c r="J120" i="91" s="1"/>
  <c r="A70" i="93"/>
  <c r="F70" i="93" s="1"/>
  <c r="J121" i="91" s="1"/>
  <c r="A71" i="93"/>
  <c r="F71" i="93" s="1"/>
  <c r="J122" i="91" s="1"/>
  <c r="A72" i="93"/>
  <c r="F72" i="93" s="1"/>
  <c r="J123" i="91" s="1"/>
  <c r="A73" i="93"/>
  <c r="F73" i="93" s="1"/>
  <c r="J124" i="91" s="1"/>
  <c r="A74" i="93"/>
  <c r="F74" i="93" s="1"/>
  <c r="J125" i="91" s="1"/>
  <c r="A75" i="93"/>
  <c r="F75" i="93" s="1"/>
  <c r="J126" i="91" s="1"/>
  <c r="A76" i="93"/>
  <c r="F76" i="93" s="1"/>
  <c r="J127" i="91" s="1"/>
  <c r="A77" i="93"/>
  <c r="F77" i="93" s="1"/>
  <c r="J128" i="91" s="1"/>
  <c r="A78" i="93"/>
  <c r="F78" i="93" s="1"/>
  <c r="J129" i="91" s="1"/>
  <c r="A79" i="93"/>
  <c r="F79" i="93" s="1"/>
  <c r="J130" i="91" s="1"/>
  <c r="A80" i="93"/>
  <c r="F80" i="93" s="1"/>
  <c r="J131" i="91" s="1"/>
  <c r="A81" i="93"/>
  <c r="F81" i="93" s="1"/>
  <c r="J132" i="91" s="1"/>
  <c r="A82" i="93"/>
  <c r="F82" i="93" s="1"/>
  <c r="J133" i="91" s="1"/>
  <c r="A83" i="93"/>
  <c r="F83" i="93" s="1"/>
  <c r="A84" i="93"/>
  <c r="F84" i="93" s="1"/>
  <c r="J135" i="91" s="1"/>
  <c r="A85" i="93"/>
  <c r="F85" i="93" s="1"/>
  <c r="J136" i="91" s="1"/>
  <c r="A86" i="93"/>
  <c r="F86" i="93" s="1"/>
  <c r="J137" i="91" s="1"/>
  <c r="A87" i="93"/>
  <c r="F87" i="93" s="1"/>
  <c r="J138" i="91" s="1"/>
  <c r="A7" i="93"/>
  <c r="F13" i="93"/>
  <c r="J64" i="91" s="1"/>
  <c r="F25" i="93"/>
  <c r="J76" i="91" s="1"/>
  <c r="F49" i="93"/>
  <c r="J100" i="91" s="1"/>
  <c r="F61" i="93"/>
  <c r="J112" i="91" s="1"/>
  <c r="AJ88" i="93"/>
  <c r="J134" i="91" l="1"/>
  <c r="J139" i="91"/>
  <c r="F7" i="93"/>
  <c r="P37" i="90" l="1"/>
  <c r="P38" i="90"/>
  <c r="P39" i="90"/>
  <c r="P40" i="90"/>
  <c r="P41" i="90"/>
  <c r="P42" i="90"/>
  <c r="P43" i="90"/>
  <c r="P44" i="90"/>
  <c r="P45" i="90"/>
  <c r="P46" i="90"/>
  <c r="P47" i="90"/>
  <c r="P48" i="90"/>
  <c r="P49" i="90"/>
  <c r="P50" i="90"/>
  <c r="P36" i="90"/>
  <c r="L37" i="90"/>
  <c r="L38" i="90"/>
  <c r="L39" i="90"/>
  <c r="L40" i="90"/>
  <c r="L41" i="90"/>
  <c r="L42" i="90"/>
  <c r="L43" i="90"/>
  <c r="L44" i="90"/>
  <c r="L45" i="90"/>
  <c r="L46" i="90"/>
  <c r="L47" i="90"/>
  <c r="L48" i="90"/>
  <c r="L49" i="90"/>
  <c r="L50" i="90"/>
  <c r="L36" i="90"/>
  <c r="S8" i="90"/>
  <c r="AD26" i="90"/>
  <c r="AD25" i="90"/>
  <c r="AD24" i="90"/>
  <c r="AD23" i="90"/>
  <c r="AD22" i="90"/>
  <c r="Q58" i="91"/>
  <c r="E58" i="91"/>
  <c r="J58" i="91"/>
  <c r="Q14" i="91"/>
  <c r="Q15" i="91"/>
  <c r="Q16" i="91"/>
  <c r="Q17" i="91"/>
  <c r="Q18" i="91"/>
  <c r="Q19" i="91"/>
  <c r="Q20" i="91"/>
  <c r="Q21" i="91"/>
  <c r="Q22" i="91"/>
  <c r="Q23" i="91"/>
  <c r="Q24" i="91"/>
  <c r="Q25" i="91"/>
  <c r="Q26" i="91"/>
  <c r="Q27" i="91"/>
  <c r="Q13" i="91"/>
  <c r="M14" i="91"/>
  <c r="M15" i="91"/>
  <c r="M16" i="91"/>
  <c r="M17" i="91"/>
  <c r="M18" i="91"/>
  <c r="M19" i="91"/>
  <c r="M20" i="91"/>
  <c r="M21" i="91"/>
  <c r="M22" i="91"/>
  <c r="M23" i="91"/>
  <c r="M24" i="91"/>
  <c r="M25" i="91"/>
  <c r="M26" i="91"/>
  <c r="M27" i="91"/>
  <c r="M13" i="91"/>
  <c r="L41" i="91"/>
  <c r="L42" i="91"/>
  <c r="L40" i="91"/>
  <c r="U50" i="91"/>
  <c r="U51" i="91"/>
  <c r="U52" i="91"/>
  <c r="U53" i="91"/>
  <c r="U49" i="91"/>
  <c r="I50" i="91"/>
  <c r="I51" i="91"/>
  <c r="I52" i="91"/>
  <c r="I53" i="91"/>
  <c r="I49" i="91"/>
  <c r="E50" i="91"/>
  <c r="E51" i="91"/>
  <c r="E52" i="91"/>
  <c r="E53" i="91"/>
  <c r="U48" i="91"/>
  <c r="I48" i="91"/>
  <c r="E48" i="91"/>
  <c r="AC20" i="90" l="1"/>
  <c r="Z4" i="91"/>
  <c r="A146" i="91" l="1"/>
  <c r="E49" i="91"/>
  <c r="U14" i="91"/>
  <c r="U15" i="91"/>
  <c r="U16" i="91"/>
  <c r="U17" i="91"/>
  <c r="U18" i="91"/>
  <c r="U19" i="91"/>
  <c r="U20" i="91"/>
  <c r="U21" i="91"/>
  <c r="U22" i="91"/>
  <c r="U23" i="91"/>
  <c r="U24" i="91"/>
  <c r="U25" i="91"/>
  <c r="U26" i="91"/>
  <c r="U27" i="91"/>
  <c r="U13" i="91"/>
  <c r="I14" i="91"/>
  <c r="I15" i="91"/>
  <c r="I16" i="91"/>
  <c r="I17" i="91"/>
  <c r="I18" i="91"/>
  <c r="I19" i="91"/>
  <c r="I20" i="91"/>
  <c r="I21" i="91"/>
  <c r="I22" i="91"/>
  <c r="I23" i="91"/>
  <c r="I24" i="91"/>
  <c r="I25" i="91"/>
  <c r="I26" i="91"/>
  <c r="I27" i="91"/>
  <c r="I13" i="91"/>
  <c r="E14" i="91"/>
  <c r="T14" i="91" s="1"/>
  <c r="E15" i="91"/>
  <c r="T15" i="91" s="1"/>
  <c r="E16" i="91"/>
  <c r="T16" i="91" s="1"/>
  <c r="E17" i="91"/>
  <c r="T17" i="91" s="1"/>
  <c r="E18" i="91"/>
  <c r="T18" i="91" s="1"/>
  <c r="E19" i="91"/>
  <c r="P19" i="91" s="1"/>
  <c r="E20" i="91"/>
  <c r="T20" i="91" s="1"/>
  <c r="E21" i="91"/>
  <c r="T21" i="91" s="1"/>
  <c r="E22" i="91"/>
  <c r="T22" i="91" s="1"/>
  <c r="E23" i="91"/>
  <c r="T23" i="91" s="1"/>
  <c r="E24" i="91"/>
  <c r="T24" i="91" s="1"/>
  <c r="E25" i="91"/>
  <c r="T25" i="91" s="1"/>
  <c r="E26" i="91"/>
  <c r="P26" i="91" s="1"/>
  <c r="E27" i="91"/>
  <c r="T27" i="91" s="1"/>
  <c r="E13" i="91"/>
  <c r="P13" i="91" s="1"/>
  <c r="T28" i="91"/>
  <c r="P28" i="91"/>
  <c r="C64" i="90"/>
  <c r="E140" i="91" s="1"/>
  <c r="C62" i="90"/>
  <c r="E46" i="91" s="1"/>
  <c r="C61" i="90"/>
  <c r="Q29" i="90"/>
  <c r="L43" i="91" s="1"/>
  <c r="P16" i="91" l="1"/>
  <c r="T19" i="91"/>
  <c r="P20" i="91"/>
  <c r="P21" i="91"/>
  <c r="P17" i="91"/>
  <c r="P23" i="91"/>
  <c r="P18" i="91"/>
  <c r="P14" i="91"/>
  <c r="P15" i="91"/>
  <c r="P24" i="91"/>
  <c r="T26" i="91"/>
  <c r="P27" i="91"/>
  <c r="P25" i="91"/>
  <c r="P22" i="91"/>
  <c r="T13" i="91"/>
  <c r="E40" i="91" l="1"/>
  <c r="E41" i="91"/>
  <c r="E42" i="91"/>
  <c r="A3" i="91"/>
  <c r="E23" i="90"/>
  <c r="V23" i="90" s="1"/>
  <c r="E24" i="90"/>
  <c r="G24" i="90" s="1"/>
  <c r="E38" i="91"/>
  <c r="E10" i="91"/>
  <c r="AB8" i="90"/>
  <c r="E20" i="90" l="1"/>
  <c r="E36" i="91" s="1"/>
  <c r="V24" i="90"/>
  <c r="Q24" i="90"/>
  <c r="T24" i="90"/>
  <c r="A7" i="91"/>
  <c r="AB9" i="90"/>
  <c r="E30" i="91" s="1"/>
  <c r="Q51" i="90"/>
  <c r="E5" i="93" s="1"/>
  <c r="I51" i="90"/>
  <c r="M51" i="90"/>
  <c r="W28" i="91"/>
  <c r="W27" i="91"/>
  <c r="W26" i="91"/>
  <c r="W25" i="91"/>
  <c r="W24" i="91"/>
  <c r="W23" i="91"/>
  <c r="W22" i="91"/>
  <c r="W21" i="91"/>
  <c r="W20" i="91"/>
  <c r="W19" i="91"/>
  <c r="W18" i="91"/>
  <c r="W17" i="91"/>
  <c r="W16" i="91"/>
  <c r="W15" i="91"/>
  <c r="W14" i="91"/>
  <c r="W13" i="91"/>
  <c r="M28" i="91" l="1"/>
  <c r="L51" i="90"/>
  <c r="Q28" i="91"/>
  <c r="P51" i="90"/>
  <c r="E55" i="91"/>
  <c r="U28" i="91"/>
  <c r="AB6" i="90"/>
  <c r="E9" i="91" s="1"/>
  <c r="X5" i="67"/>
  <c r="Q24" i="66" l="1"/>
  <c r="A23" i="67" l="1"/>
  <c r="A28" i="67" l="1"/>
  <c r="A27" i="67"/>
  <c r="A26" i="67"/>
  <c r="A25" i="67"/>
  <c r="A24" i="67"/>
  <c r="A22" i="67"/>
  <c r="A21" i="67"/>
  <c r="A16" i="67"/>
  <c r="G15" i="67"/>
  <c r="A15" i="67"/>
  <c r="G14" i="67"/>
  <c r="A14" i="67"/>
  <c r="G13" i="67"/>
  <c r="A13" i="67"/>
  <c r="A12" i="67"/>
  <c r="A11" i="67"/>
  <c r="G10" i="67"/>
  <c r="A10" i="67"/>
  <c r="G9" i="67"/>
  <c r="A9" i="67"/>
  <c r="G8" i="67"/>
  <c r="A8" i="67"/>
  <c r="G7" i="67"/>
  <c r="A39" i="67" s="1"/>
  <c r="A7" i="67"/>
  <c r="AE18" i="66"/>
  <c r="G18" i="66" s="1"/>
  <c r="AA18" i="66"/>
  <c r="A18" i="66" s="1"/>
  <c r="AA12" i="66"/>
  <c r="A12" i="66" s="1"/>
  <c r="AA8" i="66"/>
  <c r="R8" i="66" s="1"/>
  <c r="G16" i="67" l="1"/>
  <c r="J24" i="66" l="1"/>
  <c r="G11" i="67" l="1"/>
  <c r="G12" i="67" l="1"/>
  <c r="AA9" i="66"/>
  <c r="A13" i="66" l="1"/>
  <c r="R9" i="66"/>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<sst xmlns="http://schemas.openxmlformats.org/spreadsheetml/2006/main" count="1098" uniqueCount="665">
  <si>
    <t xml:space="preserve">W.O. NO. : OGC - </t>
  </si>
  <si>
    <t xml:space="preserve">FOR </t>
  </si>
  <si>
    <t>MASTER</t>
  </si>
  <si>
    <t>ORIGINAL</t>
  </si>
  <si>
    <t>COPY</t>
  </si>
  <si>
    <r>
      <rPr>
        <b/>
        <sz val="10"/>
        <color rgb="FFFF6600"/>
        <rFont val="新細明體"/>
        <family val="1"/>
        <charset val="136"/>
      </rPr>
      <t>間距空一列</t>
    </r>
  </si>
  <si>
    <t xml:space="preserve">: </t>
    <phoneticPr fontId="2" type="noConversion"/>
  </si>
  <si>
    <r>
      <t xml:space="preserve">COA </t>
    </r>
    <r>
      <rPr>
        <b/>
        <sz val="10"/>
        <color rgb="FFFF0000"/>
        <rFont val="新細明體"/>
        <family val="1"/>
        <charset val="136"/>
      </rPr>
      <t>有兩版本，請確認是否連結到正確的</t>
    </r>
    <r>
      <rPr>
        <b/>
        <sz val="10"/>
        <color rgb="FFFF0000"/>
        <rFont val="Arial"/>
        <family val="2"/>
      </rPr>
      <t>COA</t>
    </r>
    <phoneticPr fontId="4" type="noConversion"/>
  </si>
  <si>
    <t>MASTER RECEIPT OF DOCUMENTS</t>
    <phoneticPr fontId="4" type="noConversion"/>
  </si>
  <si>
    <t>COPY</t>
    <phoneticPr fontId="4" type="noConversion"/>
  </si>
  <si>
    <t>:</t>
    <phoneticPr fontId="2" type="noConversion"/>
  </si>
  <si>
    <t xml:space="preserve"> </t>
    <phoneticPr fontId="2" type="noConversion"/>
  </si>
  <si>
    <t>CERTIFICATE OF ORIGIN</t>
    <phoneticPr fontId="2" type="noConversion"/>
  </si>
  <si>
    <t>THAT IS OF TAIWAN ORIGIN :</t>
    <phoneticPr fontId="2" type="noConversion"/>
  </si>
  <si>
    <t>FOR CONSIGNEE</t>
    <phoneticPr fontId="23" type="noConversion"/>
  </si>
  <si>
    <t>Inspector</t>
    <phoneticPr fontId="2" type="noConversion"/>
  </si>
  <si>
    <t>SGS Far East Ltd., Taiwan</t>
    <phoneticPr fontId="2" type="noConversion"/>
  </si>
  <si>
    <t>DOCUMENTS</t>
    <phoneticPr fontId="4" type="noConversion"/>
  </si>
  <si>
    <t>C/O MASTER</t>
    <phoneticPr fontId="23" type="noConversion"/>
  </si>
  <si>
    <t>QUANTITY</t>
    <phoneticPr fontId="2" type="noConversion"/>
  </si>
  <si>
    <t>Authorized Signatory</t>
    <phoneticPr fontId="2" type="noConversion"/>
  </si>
  <si>
    <t>:</t>
    <phoneticPr fontId="61" type="noConversion"/>
  </si>
  <si>
    <t>hrs.</t>
    <phoneticPr fontId="61" type="noConversion"/>
  </si>
  <si>
    <t>Weather</t>
    <phoneticPr fontId="61" type="noConversion"/>
  </si>
  <si>
    <r>
      <rPr>
        <sz val="11"/>
        <color theme="1"/>
        <rFont val="細明體"/>
        <family val="2"/>
        <charset val="136"/>
      </rPr>
      <t>積載情況</t>
    </r>
    <r>
      <rPr>
        <sz val="11"/>
        <color theme="1"/>
        <rFont val="Arial"/>
        <family val="2"/>
      </rPr>
      <t>:</t>
    </r>
    <phoneticPr fontId="61" type="noConversion"/>
  </si>
  <si>
    <t xml:space="preserve"> </t>
    <phoneticPr fontId="61" type="noConversion"/>
  </si>
  <si>
    <t>M.V.</t>
    <phoneticPr fontId="61" type="noConversion"/>
  </si>
  <si>
    <t>SHIPPER</t>
    <phoneticPr fontId="2" type="noConversion"/>
  </si>
  <si>
    <t>Date:</t>
    <phoneticPr fontId="61" type="noConversion"/>
  </si>
  <si>
    <t>BUYER</t>
    <phoneticPr fontId="2" type="noConversion"/>
  </si>
  <si>
    <t xml:space="preserve">Taiwan Marubeni-Itochu Steel, Taipei </t>
  </si>
  <si>
    <t>TRADER</t>
    <phoneticPr fontId="2" type="noConversion"/>
  </si>
  <si>
    <t>Marubeni-Itochu Steel Canada Inc., V5H 4N2 Canada</t>
  </si>
  <si>
    <t>Packing :</t>
    <phoneticPr fontId="2" type="noConversion"/>
  </si>
  <si>
    <t>Each horizontal coil wrapped in a moisture-resistance plasticized Kraft envelope with both circumferential and core metal sheets, both side cardboard discs, and four outer and core protection steel rings, then secured with 4 cycle flat plastic bands as well as 2 cycle/8 radial flat metal strapping bands.</t>
  </si>
  <si>
    <t>Marks :</t>
    <phoneticPr fontId="2" type="noConversion"/>
  </si>
  <si>
    <t>Clear</t>
    <phoneticPr fontId="2" type="noConversion"/>
  </si>
  <si>
    <t>Cloudy</t>
    <phoneticPr fontId="2" type="noConversion"/>
  </si>
  <si>
    <t>Overcast</t>
    <phoneticPr fontId="2" type="noConversion"/>
  </si>
  <si>
    <t>Rainy</t>
    <phoneticPr fontId="2" type="noConversion"/>
  </si>
  <si>
    <t>Drizzly</t>
    <phoneticPr fontId="2" type="noConversion"/>
  </si>
  <si>
    <t>Showery</t>
    <phoneticPr fontId="2" type="noConversion"/>
  </si>
  <si>
    <t>Invoice No.</t>
    <phoneticPr fontId="2" type="noConversion"/>
  </si>
  <si>
    <t>S/O No.</t>
    <phoneticPr fontId="2" type="noConversion"/>
  </si>
  <si>
    <t>V</t>
    <phoneticPr fontId="2" type="noConversion"/>
  </si>
  <si>
    <t>Inspector</t>
    <phoneticPr fontId="61" type="noConversion"/>
  </si>
  <si>
    <t>)</t>
  </si>
  <si>
    <t>COLD ROLLED STAINLESS STEEL SHEET IN COIL</t>
    <phoneticPr fontId="2" type="noConversion"/>
  </si>
  <si>
    <t>Gross Weight</t>
    <phoneticPr fontId="2" type="noConversion"/>
  </si>
  <si>
    <r>
      <rPr>
        <sz val="11"/>
        <color theme="1"/>
        <rFont val="細明體"/>
        <family val="2"/>
        <charset val="136"/>
      </rPr>
      <t>晴</t>
    </r>
    <phoneticPr fontId="2" type="noConversion"/>
  </si>
  <si>
    <r>
      <rPr>
        <sz val="11"/>
        <color theme="1"/>
        <rFont val="細明體"/>
        <family val="2"/>
        <charset val="136"/>
      </rPr>
      <t>多雲</t>
    </r>
    <phoneticPr fontId="2" type="noConversion"/>
  </si>
  <si>
    <r>
      <rPr>
        <sz val="11"/>
        <color theme="1"/>
        <rFont val="細明體"/>
        <family val="2"/>
        <charset val="136"/>
      </rPr>
      <t>陰天</t>
    </r>
    <phoneticPr fontId="2" type="noConversion"/>
  </si>
  <si>
    <r>
      <rPr>
        <sz val="11"/>
        <color theme="1"/>
        <rFont val="細明體"/>
        <family val="2"/>
        <charset val="136"/>
      </rPr>
      <t>雨</t>
    </r>
    <phoneticPr fontId="2" type="noConversion"/>
  </si>
  <si>
    <r>
      <rPr>
        <sz val="11"/>
        <color theme="1"/>
        <rFont val="細明體"/>
        <family val="2"/>
        <charset val="136"/>
      </rPr>
      <t>毛毛雨</t>
    </r>
    <phoneticPr fontId="2" type="noConversion"/>
  </si>
  <si>
    <r>
      <rPr>
        <sz val="11"/>
        <color theme="1"/>
        <rFont val="細明體"/>
        <family val="2"/>
        <charset val="136"/>
      </rPr>
      <t>陣雨</t>
    </r>
    <phoneticPr fontId="2" type="noConversion"/>
  </si>
  <si>
    <r>
      <rPr>
        <sz val="11"/>
        <color theme="1"/>
        <rFont val="細明體"/>
        <family val="2"/>
        <charset val="136"/>
      </rPr>
      <t>單位：</t>
    </r>
    <phoneticPr fontId="2" type="noConversion"/>
  </si>
  <si>
    <t>否</t>
  </si>
  <si>
    <t xml:space="preserve"> )排 / (</t>
  </si>
  <si>
    <t xml:space="preserve"> )層</t>
  </si>
  <si>
    <t xml:space="preserve"> )蓋(</t>
  </si>
  <si>
    <t xml:space="preserve">每排下方放( </t>
  </si>
  <si>
    <t>共(</t>
  </si>
  <si>
    <t>每排以 (</t>
  </si>
  <si>
    <t>各貨堆(</t>
  </si>
  <si>
    <t>Quantity</t>
    <phoneticPr fontId="2" type="noConversion"/>
  </si>
  <si>
    <t>PPG112545</t>
    <phoneticPr fontId="2" type="noConversion"/>
  </si>
  <si>
    <t>Total</t>
    <phoneticPr fontId="2" type="noConversion"/>
  </si>
  <si>
    <t>帆布</t>
  </si>
  <si>
    <t>Port of Loading:</t>
    <phoneticPr fontId="2" type="noConversion"/>
  </si>
  <si>
    <t>Port of Discharge:</t>
    <phoneticPr fontId="2" type="noConversion"/>
  </si>
  <si>
    <t>DESCRIPTION</t>
    <phoneticPr fontId="2" type="noConversion"/>
  </si>
  <si>
    <t>(as provided by client)</t>
    <phoneticPr fontId="2" type="noConversion"/>
  </si>
  <si>
    <t>Net Weight</t>
    <phoneticPr fontId="2" type="noConversion"/>
  </si>
  <si>
    <t>SHIPMENT</t>
    <phoneticPr fontId="2" type="noConversion"/>
  </si>
  <si>
    <t>PACKING</t>
    <phoneticPr fontId="2" type="noConversion"/>
  </si>
  <si>
    <t>MARKS</t>
    <phoneticPr fontId="2" type="noConversion"/>
  </si>
  <si>
    <t xml:space="preserve">The cargo in coils trailered from the mill to Wharf No. 36 was shifted by forklifts from the chassis to line alongside the vessel, then loaded into the vessel’s Hold No. 3 by the ship’s crane with the spreader, steel chains, wire ropes, shackles and cargo hooks connecting to special belt slings. </t>
  </si>
  <si>
    <t>Bundle</t>
    <phoneticPr fontId="2" type="noConversion"/>
  </si>
  <si>
    <t>Coil</t>
    <phoneticPr fontId="2" type="noConversion"/>
  </si>
  <si>
    <t>The cargo had been stored in rows X 1~2 tier(s) high with wooden dunnage and wedges (for horizontal coils only) on the concrete ground in port godown No. 32 before the vessel’s arrival. Neither chemical nor corrosive object was uncovered in the vicinity where accessible</t>
    <phoneticPr fontId="2" type="noConversion"/>
  </si>
  <si>
    <t>GODOWN</t>
    <phoneticPr fontId="2" type="noConversion"/>
  </si>
  <si>
    <t>The cargo in coils had been stored in rows X 1~2 tier(s) high on the concrete ground in port godown No. 32 before the vessel’s arrival. Neither chemical nor corrosive object was uncovered in the vicinity. (Photo No. 1-3)</t>
    <phoneticPr fontId="2" type="noConversion"/>
  </si>
  <si>
    <t>The cargo in coils either trailered from the mill to Wharf No. 36, or moved by forklifts from piles to the chassis at port godown No. 39, next trailered to quayside, was shifted by forklifts from the chassis to line alongside the vessel, and loaded into the ship’s Hold No. 2 by the ship’s crane with the spreader, wire ropes, steel chains, shackles and cargo hooks connecting to special belt slings.</t>
    <phoneticPr fontId="2" type="noConversion"/>
  </si>
  <si>
    <t>V+H</t>
    <phoneticPr fontId="2" type="noConversion"/>
  </si>
  <si>
    <t>H</t>
    <phoneticPr fontId="2" type="noConversion"/>
  </si>
  <si>
    <t xml:space="preserve">The cargo in coils moved by single-boom-lifts from the pile to the chassis at port godown No. 39 (or from the mill) was trailered to alongside the vessel and loaded into the ship’s Hold No. 1 &amp; 5 by the ship’s cranes with the spreaders, wire ropes, steel chains, shackles and cargo hooks connecting to special belt slings. </t>
    <phoneticPr fontId="2" type="noConversion"/>
  </si>
  <si>
    <t>The cargo in coils either trailered from the mill to alongside the vessel, or moved by single-boom-lifts from piles to the chassis at port godown No. 39, next trailered to alongside the vessel was lifted up from the chassis, and loaded into the ship’s Hold No. 1 &amp; 5 by the ship’s cranes with the spreaders, wire ropes, steel chains, shackles and cargo hooks connecting to special belt slings. (Photo No. 5-40)</t>
    <phoneticPr fontId="2" type="noConversion"/>
  </si>
  <si>
    <t xml:space="preserve"> with hatches closed and the loading suspended.</t>
  </si>
  <si>
    <t>LOADING</t>
    <phoneticPr fontId="2" type="noConversion"/>
  </si>
  <si>
    <t>TIME LOG</t>
    <phoneticPr fontId="2" type="noConversion"/>
  </si>
  <si>
    <t>INSPECTION</t>
    <phoneticPr fontId="2" type="noConversion"/>
  </si>
  <si>
    <t>Coil No.</t>
  </si>
  <si>
    <t>Photo No.</t>
    <phoneticPr fontId="2" type="noConversion"/>
  </si>
  <si>
    <t>Findings</t>
    <phoneticPr fontId="2" type="noConversion"/>
  </si>
  <si>
    <t>The cargo in coils trailered from the mill to Wharf No. 36 was shifted by single-boom-lifts from the chassis to line alongside the vessel, then loaded into the vessel’s Hold No. 1 by the ship’s crane with the spreader, steel chains, wire ropes, shackles and cargo hooks connecting to special belt slings.</t>
    <phoneticPr fontId="2" type="noConversion"/>
  </si>
  <si>
    <t xml:space="preserve">The goods in bundles transported by trailers from the mill to Wharf No. 37 were removed from the tarpaulin covering, next shifted bundles from the chassis to alongside the vessel, and then directly loaded into the ship’s Hold No. 2 by the vessel’s crane with the spreader, wire ropes, shackles, and cargo hooks connecting to special belt slings. </t>
    <phoneticPr fontId="2" type="noConversion"/>
  </si>
  <si>
    <t>The goods were moved by fork-lifts from piles to the chassis at godown No. 39, but horizontal coils from the mill and trailered alongside the vessel, then shifted by forklifts from the chassis to line alongside the boat (vertical coils) were loaded into the ship’s Hold No. 1, 2 &amp; 4 by the vessel’s cranes with the spreaders, steel chains, wire ropes, shackles and cargo hooks connecting to special belt slings.</t>
    <phoneticPr fontId="2" type="noConversion"/>
  </si>
  <si>
    <t>The cargo in coils was shifted by forklifts from piles to the chassis in port godown No. 32, then transported by trailers to Wharf No. 39. Forklifts then moved the cargo from the chassis to the line alongside the vessel. The ship's crane then loaded the cargo into the vessel’s Hold No. 2 with the spreader, steel chains, wire ropes, shackles, and cargo hooks connecting to special belt slings.</t>
    <phoneticPr fontId="2" type="noConversion"/>
  </si>
  <si>
    <t xml:space="preserve">The cargo in coils moved by single-boom-lifts from the pile to the chassis at port godown No. 39 was trailered alongside the vessel and loaded into the ship’s Hold No. 3 by the ship’s crane with the spreaders, wire ropes, steel chains, shackles, and cargo hooks connecting to special belt slings. </t>
    <phoneticPr fontId="2" type="noConversion"/>
  </si>
  <si>
    <r>
      <rPr>
        <sz val="11"/>
        <rFont val="新細明體"/>
        <family val="1"/>
        <charset val="136"/>
      </rPr>
      <t>沒進倉，直接裝船</t>
    </r>
    <phoneticPr fontId="2" type="noConversion"/>
  </si>
  <si>
    <r>
      <rPr>
        <sz val="11"/>
        <rFont val="新細明體"/>
        <family val="1"/>
        <charset val="136"/>
      </rPr>
      <t>部分倉庫，部分工廠</t>
    </r>
    <phoneticPr fontId="2" type="noConversion"/>
  </si>
  <si>
    <r>
      <rPr>
        <sz val="11"/>
        <rFont val="新細明體"/>
        <family val="2"/>
        <charset val="136"/>
      </rPr>
      <t>進倉後直接裝船</t>
    </r>
    <phoneticPr fontId="2" type="noConversion"/>
  </si>
  <si>
    <t>Inox PA S.P.A</t>
  </si>
  <si>
    <t>Marghera port (Italy)</t>
  </si>
  <si>
    <t>STOWAGE</t>
    <phoneticPr fontId="2" type="noConversion"/>
  </si>
  <si>
    <t>The ship’s Master denied the Shipper’s surveyors to observe and take photos on the ship’s cargo stowage condition, so it had no access for us to embark the vessel.</t>
    <phoneticPr fontId="2" type="noConversion"/>
  </si>
  <si>
    <t>Each horizontal coil wrapped in a metal envelope with 4 outer/core protection steel rings, was secured with 3 cycle/4 radial flat metal bands.</t>
    <phoneticPr fontId="2" type="noConversion"/>
  </si>
  <si>
    <t>Coils revealed to be labelled with the wording “--------, Yusco, Marghera, No., Made in Taiwan, R.O.C., etc.” at one side and on core package respectively.</t>
    <phoneticPr fontId="2" type="noConversion"/>
  </si>
  <si>
    <t xml:space="preserve">Each vertical or horizontal coil in a metal envelope with 4 protection steel rings along upper-outer/-eye rims (vertical coil) or outer/eye rims (horizontal coil), then secured with 3 cycle/8 eye (vertical coil) or 3-6 cycle/4 eye (horizontal coil) flat metal strapping bands on a wooden pallet (vertical coil only). </t>
    <phoneticPr fontId="2" type="noConversion"/>
  </si>
  <si>
    <r>
      <rPr>
        <sz val="11"/>
        <rFont val="細明體"/>
        <family val="2"/>
        <charset val="136"/>
      </rPr>
      <t>防水紙包裝</t>
    </r>
    <phoneticPr fontId="2" type="noConversion"/>
  </si>
  <si>
    <r>
      <rPr>
        <sz val="11"/>
        <rFont val="細明體"/>
        <family val="2"/>
        <charset val="136"/>
      </rPr>
      <t>鐵包裝</t>
    </r>
    <phoneticPr fontId="2" type="noConversion"/>
  </si>
  <si>
    <t>Each coil, either in vertical or horizontal direction, is wrapped in a metal envelope with 2 or 4 protection steel rings along upper-outer/-eye rims (vertical coil) or outer/eye rims (horizontal coil), then secured with 3 cycle/8 eye (vertical coil) or 3 cycle/4 eye (horizontal coil) flat metal strapping bands on a wooden pallet (vertical coil only).</t>
    <phoneticPr fontId="2" type="noConversion"/>
  </si>
  <si>
    <t>Acciai Vender SPA</t>
    <phoneticPr fontId="2" type="noConversion"/>
  </si>
  <si>
    <t>Marghera port, Italy</t>
    <phoneticPr fontId="2" type="noConversion"/>
  </si>
  <si>
    <t>Coils revealed to be labelled with the wording “--------, Yusco, Order Reference No.: 2P/12, Net Weight, Gross Weight, Made in Taiwan, etc.” at one side and on core package respectively.</t>
    <phoneticPr fontId="2" type="noConversion"/>
  </si>
  <si>
    <t>Nova Steel – F.Z.C.</t>
    <phoneticPr fontId="2" type="noConversion"/>
  </si>
  <si>
    <t>Marghera port (Italy)</t>
    <phoneticPr fontId="2" type="noConversion"/>
  </si>
  <si>
    <t>Coils revealed to be labelled with the wording “--------, Job Order:, Net Weight, Gross Weight, Made in Taiwan, etc.” at one side and on core package respectively</t>
    <phoneticPr fontId="2" type="noConversion"/>
  </si>
  <si>
    <t>Friulana Metalli SPA</t>
    <phoneticPr fontId="2" type="noConversion"/>
  </si>
  <si>
    <t>Ravenna port, Italy</t>
    <phoneticPr fontId="2" type="noConversion"/>
  </si>
  <si>
    <t>Coils revealed to be labelled with the wording “--------, Job Order:, Net Weight, Gross Weight, Made in Taiwan, etc.” or “--------, Yusco, Order Reference, No.:, Net Weight, Gross Weight, Made in Taiwan, etc.” at one side and on core package respectively.</t>
    <phoneticPr fontId="2" type="noConversion"/>
  </si>
  <si>
    <t>Funabashi, Japan</t>
    <phoneticPr fontId="2" type="noConversion"/>
  </si>
  <si>
    <t>Shinko Bussan Co., Ltd.</t>
    <phoneticPr fontId="2" type="noConversion"/>
  </si>
  <si>
    <t>Coils revealed to be labeled with the wording “--------, Shinko, Funabashi, No., Made in Taiwan, etc.” at one side and on core package respectively.</t>
    <phoneticPr fontId="2" type="noConversion"/>
  </si>
  <si>
    <t>Iwatani Corporation</t>
    <phoneticPr fontId="2" type="noConversion"/>
  </si>
  <si>
    <t>Balaji Niryaat Pvt Ltd., Kolkata 700001, India</t>
    <phoneticPr fontId="2" type="noConversion"/>
  </si>
  <si>
    <t>Nhava Sheva Port in India</t>
    <phoneticPr fontId="2" type="noConversion"/>
  </si>
  <si>
    <t>Coils revealed to be labeled with the wording “--------, Nhava Sheva, No., Made in Taiwan, etc.” at the exterior surface each.</t>
    <phoneticPr fontId="2" type="noConversion"/>
  </si>
  <si>
    <t>Taiwan Marubeni-Itochu Steel, Taipei</t>
    <phoneticPr fontId="2" type="noConversion"/>
  </si>
  <si>
    <t>Yokohama, Japan</t>
    <phoneticPr fontId="2" type="noConversion"/>
  </si>
  <si>
    <t>Antwerp port, Belgium</t>
    <phoneticPr fontId="2" type="noConversion"/>
  </si>
  <si>
    <t>Roba Metals B.V.</t>
    <phoneticPr fontId="2" type="noConversion"/>
  </si>
  <si>
    <t>Coils revealed to be labelled with the wording “--------, Yusco, Antwerp, No., Made in Taiwan, R.O.C., etc.” at one side and on core package respectively.</t>
    <phoneticPr fontId="2" type="noConversion"/>
  </si>
  <si>
    <t>Phoenix Foils Private Limited, Mumbai-400004, India</t>
    <phoneticPr fontId="2" type="noConversion"/>
  </si>
  <si>
    <t>Coils revealed to be labeled with the wording “---------, Size/Grade/Weight/Finish/Heat No./Phoenix Foils, Nhava Sheva, Made in Taiwan, etc.” at the exterior surface each.</t>
    <phoneticPr fontId="2" type="noConversion"/>
  </si>
  <si>
    <t>Nhava Sheva Seaport India</t>
    <phoneticPr fontId="2" type="noConversion"/>
  </si>
  <si>
    <t>Italinox S.R.O., Czech Republic</t>
    <phoneticPr fontId="2" type="noConversion"/>
  </si>
  <si>
    <t>Hamburg, Germany</t>
    <phoneticPr fontId="2" type="noConversion"/>
  </si>
  <si>
    <t>Coils revealed to be labeled with the wording “---------, Italinox S.R.O., Net Weight, Gross Weight, Made in Taiwan, etc.” at the exterior surface each.</t>
    <phoneticPr fontId="2" type="noConversion"/>
  </si>
  <si>
    <t>Yieh Corporation Limited, Kaohsiung</t>
    <phoneticPr fontId="2" type="noConversion"/>
  </si>
  <si>
    <t>Rotterdam, Netherlands</t>
    <phoneticPr fontId="2" type="noConversion"/>
  </si>
  <si>
    <t>Venice Port</t>
    <phoneticPr fontId="2" type="noConversion"/>
  </si>
  <si>
    <t>Nord Est Metalli S.R.L., Italy</t>
    <phoneticPr fontId="2" type="noConversion"/>
  </si>
  <si>
    <t>Coils revealed to be labeled with the wording “---------, Nord Est Metalli S.R.L., Venice, Net Wt, Made in Taiwan, etc.” at the exterior surface each.</t>
    <phoneticPr fontId="2" type="noConversion"/>
  </si>
  <si>
    <t>COLD ROLLED STAINLESS STEEL SHEET IN COIL, BA FINISH</t>
    <phoneticPr fontId="2" type="noConversion"/>
  </si>
  <si>
    <t>HOT ROLLED STAINLESS STEEL SHEET IN COIL NO.1 FINISH</t>
    <phoneticPr fontId="2" type="noConversion"/>
  </si>
  <si>
    <t>COLD ROLLED STAINLESS STEEL SHEET IN COIL NO.2B/BA FINISH</t>
    <phoneticPr fontId="2" type="noConversion"/>
  </si>
  <si>
    <t>COLD ROLLED STAINLESS STEEL SHEET IN COIL NO.2B/BA FINISH,</t>
    <phoneticPr fontId="2" type="noConversion"/>
  </si>
  <si>
    <t>PRIME COLD ROLLED STAINLESS STEEL SHEET IN COIL NO.2B/BA FINISH,</t>
    <phoneticPr fontId="2" type="noConversion"/>
  </si>
  <si>
    <t xml:space="preserve">HOT/COLD ROLLED STAINLESS STEEL SHEET IN COIL 2B FINISH, </t>
    <phoneticPr fontId="2" type="noConversion"/>
  </si>
  <si>
    <t>HOT ROLLED STAINLESS STEEL COILS</t>
    <phoneticPr fontId="2" type="noConversion"/>
  </si>
  <si>
    <t>Lachesis Co., Ltd., South Korea</t>
    <phoneticPr fontId="2" type="noConversion"/>
  </si>
  <si>
    <t>Coils revealed to be labeled with the wording “---------, DMS Korea, Busan, No., Made in Taiwan, etc.” at the exterior surface each.</t>
    <phoneticPr fontId="2" type="noConversion"/>
  </si>
  <si>
    <t>Busan, South Korea</t>
    <phoneticPr fontId="2" type="noConversion"/>
  </si>
  <si>
    <t xml:space="preserve">COLD ROLLED STAINLESS STEEL SHEET IN COIL NO. 2B FINISH </t>
    <phoneticPr fontId="2" type="noConversion"/>
  </si>
  <si>
    <t>Kentzu Steel Sdn Bhd., 55200 Kuala Lumpur Malaysia</t>
    <phoneticPr fontId="2" type="noConversion"/>
  </si>
  <si>
    <t>Klang, Malaysia</t>
    <phoneticPr fontId="2" type="noConversion"/>
  </si>
  <si>
    <t>Coils revealed to be labeled with the wording “---------, Kentzu, Port Klang, No., Made in Taiwan, etc.” at the exterior surface each.</t>
    <phoneticPr fontId="2" type="noConversion"/>
  </si>
  <si>
    <t>HOT ROLLED STAINLESS STEEL SHEET IN COIL NO. 1 FINISH</t>
    <phoneticPr fontId="2" type="noConversion"/>
  </si>
  <si>
    <t>Kanzen Tetsu Sdn Bhd., 55200 Kuala Lumpur, Malaysia</t>
    <phoneticPr fontId="2" type="noConversion"/>
  </si>
  <si>
    <t>Coils revealed to be labeled with the wording “---------, Kanzen, Port Klang, No., Made in Taiwan, etc.” at the exterior surface each.</t>
  </si>
  <si>
    <t>DMS Korea Co., Ltd., Gyeongsangnam-Do, Republic of Korea</t>
    <phoneticPr fontId="2" type="noConversion"/>
  </si>
  <si>
    <t>Busan Port in South Korea</t>
    <phoneticPr fontId="2" type="noConversion"/>
  </si>
  <si>
    <t>Shipper name</t>
    <phoneticPr fontId="2" type="noConversion"/>
  </si>
  <si>
    <t>Buyer</t>
    <phoneticPr fontId="2" type="noConversion"/>
  </si>
  <si>
    <t>Cargo</t>
    <phoneticPr fontId="2" type="noConversion"/>
  </si>
  <si>
    <t>Discharging</t>
    <phoneticPr fontId="2" type="noConversion"/>
  </si>
  <si>
    <t>Marks</t>
    <phoneticPr fontId="2" type="noConversion"/>
  </si>
  <si>
    <t>HOT ROLLED STAINLESS STEEL IN COIL AISI 304 NO. 1 SLIT EDGE FINISH</t>
    <phoneticPr fontId="2" type="noConversion"/>
  </si>
  <si>
    <t>Bangkok (Pat), Thailand</t>
    <phoneticPr fontId="2" type="noConversion"/>
  </si>
  <si>
    <t>T.P. Subcharoen Co., Ltd., Thailand</t>
    <phoneticPr fontId="2" type="noConversion"/>
  </si>
  <si>
    <t>Coils revealed to be labeled with the wording “---------, T.P. Subcharoen Co.,Ltd., Bangkok, Made in Taiwan, R.O.C., etc.” at the exterior surface each.</t>
    <phoneticPr fontId="2" type="noConversion"/>
  </si>
  <si>
    <t>COLD ROLLED STAINLESS STEEL IN COIL NO. 2B FINISH</t>
    <phoneticPr fontId="2" type="noConversion"/>
  </si>
  <si>
    <t>Guangzhou Kyh Metal Co., Ltd., China</t>
    <phoneticPr fontId="2" type="noConversion"/>
  </si>
  <si>
    <t>Hong Kong</t>
    <phoneticPr fontId="2" type="noConversion"/>
  </si>
  <si>
    <t>Key Bridge Co., Ltd., Kaohsiung</t>
    <phoneticPr fontId="2" type="noConversion"/>
  </si>
  <si>
    <t>Coils revealed to be labeled with the wording “---------, STLS, Port Klang, No., Made in Taiwan, etc.” at the exterior surface each.</t>
    <phoneticPr fontId="2" type="noConversion"/>
  </si>
  <si>
    <t>Port Klang, Malaysia</t>
    <phoneticPr fontId="2" type="noConversion"/>
  </si>
  <si>
    <t>Shipping Seal No.</t>
    <phoneticPr fontId="2" type="noConversion"/>
  </si>
  <si>
    <t>HOT / COLD ROLLED STAINLESS STEEL SHEET IN COIL</t>
    <phoneticPr fontId="2" type="noConversion"/>
  </si>
  <si>
    <t>C</t>
    <phoneticPr fontId="2" type="noConversion"/>
  </si>
  <si>
    <t>B</t>
    <phoneticPr fontId="2" type="noConversion"/>
  </si>
  <si>
    <t>COLD ROLLED STAINLESS STEEL SHEET IN COIL NO. 2B FINISH ASTM A240M-20A 304/304L</t>
    <phoneticPr fontId="2" type="noConversion"/>
  </si>
  <si>
    <t>Penang Port, Malaysia</t>
    <phoneticPr fontId="2" type="noConversion"/>
  </si>
  <si>
    <t>Alumtan Union Metal Sdn Bhd., Penang Malaysia</t>
    <phoneticPr fontId="2" type="noConversion"/>
  </si>
  <si>
    <t>Coils revealed to be labeled with the wording “---------, Hanoi Steel Center, Haiphong, No., Made in Taiwan, etc.” at the exterior surface each.</t>
    <phoneticPr fontId="2" type="noConversion"/>
  </si>
  <si>
    <t>Coils revealed to be labeled with the wording “---------, Alumtan, Penang, No., Made in Taiwan, etc.” at the exterior surface each.</t>
    <phoneticPr fontId="2" type="noConversion"/>
  </si>
  <si>
    <t>Haiphong, Vietnam</t>
    <phoneticPr fontId="2" type="noConversion"/>
  </si>
  <si>
    <t>Sumitomo Corporation Taiwan, Taipei</t>
    <phoneticPr fontId="2" type="noConversion"/>
  </si>
  <si>
    <t>COLD ROLLED STAINLESS STEEL SHEET IN COIL JIS G4305 SUS 430-2B</t>
    <phoneticPr fontId="2" type="noConversion"/>
  </si>
  <si>
    <t>Coils revealed to be labeled with the wording “---------, Hanoi Steel Center, PO No., Haiphong, No., Made in Taiwan, etc.” on surface.</t>
    <phoneticPr fontId="2" type="noConversion"/>
  </si>
  <si>
    <t>YOSHU (Thailand) Co., Ltd., Bangkok 10110</t>
    <phoneticPr fontId="2" type="noConversion"/>
  </si>
  <si>
    <t>COLD ROLLED STAINLESS STEEL SHEET IN COIL SLIT EDGE</t>
    <phoneticPr fontId="2" type="noConversion"/>
  </si>
  <si>
    <t>Bangkok, Thailand</t>
    <phoneticPr fontId="2" type="noConversion"/>
  </si>
  <si>
    <t>Coils revealed to be labeled with the wording “---------, YOSHU (Thailand), Bangkok, No., Made in Taiwan, etc.” on surface.</t>
    <phoneticPr fontId="2" type="noConversion"/>
  </si>
  <si>
    <t>Chiba, Japan</t>
    <phoneticPr fontId="2" type="noConversion"/>
  </si>
  <si>
    <t>Iwatani Corporation, Tokyo 105-8458 Japan</t>
    <phoneticPr fontId="2" type="noConversion"/>
  </si>
  <si>
    <t>Nhava Sheva</t>
    <phoneticPr fontId="2" type="noConversion"/>
  </si>
  <si>
    <t>Saraswati Steel India, Mumbai-400004</t>
    <phoneticPr fontId="2" type="noConversion"/>
  </si>
  <si>
    <t>Coils revealed to be labeled with the wording “-------, Saraswati, Nhava Sheva, No., Made in Taiwan, etc.” on surface.</t>
    <phoneticPr fontId="2" type="noConversion"/>
  </si>
  <si>
    <t>STAINLESS STEEL COLD ROLLED COILS,</t>
    <phoneticPr fontId="2" type="noConversion"/>
  </si>
  <si>
    <t>Koden International Korea Co., Gangnam-Gu</t>
    <phoneticPr fontId="2" type="noConversion"/>
  </si>
  <si>
    <t>Slab revealed to be labeled with the wording “---------, Koden, Busan, No., Made in Taiwan, etc.” at the exterior surface.</t>
    <phoneticPr fontId="2" type="noConversion"/>
  </si>
  <si>
    <t>Busan Port, South Korea</t>
    <phoneticPr fontId="2" type="noConversion"/>
  </si>
  <si>
    <t>STAINLESS STEEL COILS</t>
    <phoneticPr fontId="2" type="noConversion"/>
  </si>
  <si>
    <t>STAINLESS STEEL COILS GRADE 316L NO2B 2D FINISH</t>
    <phoneticPr fontId="2" type="noConversion"/>
  </si>
  <si>
    <t>Sumiputeh Steel Centre Sdn., Selangor, Malaysia</t>
    <phoneticPr fontId="2" type="noConversion"/>
  </si>
  <si>
    <t>Coils revealed to be labeled with the wording “---------, Sumiputeh, Port Klang, No., Made in Taiwan, etc.” at the exterior surface each.</t>
    <phoneticPr fontId="2" type="noConversion"/>
  </si>
  <si>
    <t xml:space="preserve">STAINLESS STEEL SHEET IN COIL </t>
    <phoneticPr fontId="2" type="noConversion"/>
  </si>
  <si>
    <t>KIBO Co., Ltd., Seoul, South Korea</t>
    <phoneticPr fontId="2" type="noConversion"/>
  </si>
  <si>
    <t>Coils revealed to be labeled with the wording "--------, Lucdongtam, HCMC, No., Made in Taiwan, etc.” on surface.</t>
    <phoneticPr fontId="2" type="noConversion"/>
  </si>
  <si>
    <t>Cat Lai Port, Hochiminh City, Vietnam,</t>
    <phoneticPr fontId="2" type="noConversion"/>
  </si>
  <si>
    <t>Bayar Paslanmaz Celik A.S., Istanbul Turkey</t>
    <phoneticPr fontId="2" type="noConversion"/>
  </si>
  <si>
    <t>Ambarli, Istanbul, Turkey</t>
    <phoneticPr fontId="2" type="noConversion"/>
  </si>
  <si>
    <t>STAINLESS STEEL COLD ROLLED COILS</t>
    <phoneticPr fontId="2" type="noConversion"/>
  </si>
  <si>
    <t>Coils revealed to be labeled with the wording “---------, Yankong, Port Klang, No., Made in Taiwan, etc.” at the exterior surface each.</t>
    <phoneticPr fontId="2" type="noConversion"/>
  </si>
  <si>
    <t>Yankong Stainless Sdn Bhd.</t>
    <phoneticPr fontId="2" type="noConversion"/>
  </si>
  <si>
    <t>STAINLESS STEEL COLD ROLLED</t>
    <phoneticPr fontId="2" type="noConversion"/>
  </si>
  <si>
    <t>Yieh Corporation Limited C/O, Kaohsiung</t>
    <phoneticPr fontId="2" type="noConversion"/>
  </si>
  <si>
    <t>La Spezia Port, Italy</t>
    <phoneticPr fontId="2" type="noConversion"/>
  </si>
  <si>
    <t>Expertinox Ventures Pte Ltd., Singapore</t>
    <phoneticPr fontId="2" type="noConversion"/>
  </si>
  <si>
    <t>Coils revealed to be labeled with the wording “---------, Size/Grade/Weight/Finish/Heat No./Expertinox, Nhava Sheva, Made in Taiwan, etc.” at the exterior surface each.</t>
    <phoneticPr fontId="2" type="noConversion"/>
  </si>
  <si>
    <t>Nhava Sheva, India</t>
    <phoneticPr fontId="2" type="noConversion"/>
  </si>
  <si>
    <t>STAINLESS STEEL STRIP IN COIL FOR REROLLING USAGE (MILL EDGE) GRADE SUS301 FINISH 2D</t>
    <phoneticPr fontId="2" type="noConversion"/>
  </si>
  <si>
    <t>Walsin Precision Technology, 75450 Melaka, Malaysia</t>
    <phoneticPr fontId="2" type="noConversion"/>
  </si>
  <si>
    <t>Coils revealed to be labeled with the wording “---------, Walsin, Port Klang, No., Made in Taiwan, etc.” at the exterior surface each.</t>
    <phoneticPr fontId="2" type="noConversion"/>
  </si>
  <si>
    <t>Lachesis Co., Ltd., Jongnogu Seoul Korea</t>
    <phoneticPr fontId="2" type="noConversion"/>
  </si>
  <si>
    <t>Busan, Korean Port</t>
    <phoneticPr fontId="2" type="noConversion"/>
  </si>
  <si>
    <t>COLD ROLLED STAINLESS STEEL SHEET IN COIL NO. 2B FINISH</t>
    <phoneticPr fontId="2" type="noConversion"/>
  </si>
  <si>
    <t>Heap Sing Huat Metals</t>
    <phoneticPr fontId="2" type="noConversion"/>
  </si>
  <si>
    <t>Coils revealed to be labeled with the wording “---------, Heap Sing Huat, Penang, No., Made in Taiwan, etc.” at the exterior surface each.</t>
    <phoneticPr fontId="2" type="noConversion"/>
  </si>
  <si>
    <t>HOT ROLLED STAINLESS STEEL SHEET IN COIL</t>
    <phoneticPr fontId="2" type="noConversion"/>
  </si>
  <si>
    <t>Metal One Corporation, Tokyo 100-7032, Japan</t>
    <phoneticPr fontId="2" type="noConversion"/>
  </si>
  <si>
    <t>Hochiminh City, Vietnam (Cat Lai)</t>
    <phoneticPr fontId="2" type="noConversion"/>
  </si>
  <si>
    <t>Coils revealed to be labeled with the wording “---------, Benkan Vietnam, Long An, Case No., Taiwan, etc.” at the exterior surface each.</t>
    <phoneticPr fontId="2" type="noConversion"/>
  </si>
  <si>
    <r>
      <rPr>
        <sz val="11"/>
        <rFont val="細明體"/>
        <family val="2"/>
        <charset val="136"/>
      </rPr>
      <t>屏萬企業</t>
    </r>
    <phoneticPr fontId="2" type="noConversion"/>
  </si>
  <si>
    <t>Best Win Corporation</t>
    <phoneticPr fontId="2" type="noConversion"/>
  </si>
  <si>
    <t>Coils revealed to be labeled with the wording“---------, BW, Size, Coil No., N.W., G.W., Made in Taiwan, etc.” on surface.</t>
    <phoneticPr fontId="2" type="noConversion"/>
  </si>
  <si>
    <t>Hochiminh, Vietnam</t>
    <phoneticPr fontId="2" type="noConversion"/>
  </si>
  <si>
    <t>STAINLESS STEEL COILS HS CODE:7219 1390</t>
    <phoneticPr fontId="2" type="noConversion"/>
  </si>
  <si>
    <t>GKY Enterprise Sdn Bhd., Selangor Malaysia</t>
    <phoneticPr fontId="2" type="noConversion"/>
  </si>
  <si>
    <t>Coils revealed to be labeled with the wording  “-------, GKY, Port Klang, No., Made in Taiwan, etc.” on surface.</t>
    <phoneticPr fontId="2" type="noConversion"/>
  </si>
  <si>
    <t>TSA Industries Sdn Bhd., Selangor Malaysia</t>
    <phoneticPr fontId="2" type="noConversion"/>
  </si>
  <si>
    <t>Coils revealed to be labeled with the wording “---------, TSA, Port Klang, No., Made in Taiwan, etc.” at the exterior surface each.</t>
    <phoneticPr fontId="2" type="noConversion"/>
  </si>
  <si>
    <r>
      <t>STUFFING INSPECTION FIELD REPORT (</t>
    </r>
    <r>
      <rPr>
        <b/>
        <u/>
        <sz val="11"/>
        <color theme="1"/>
        <rFont val="微軟正黑體"/>
        <family val="2"/>
        <charset val="136"/>
      </rPr>
      <t>裝櫃報告</t>
    </r>
    <r>
      <rPr>
        <b/>
        <u/>
        <sz val="11"/>
        <color theme="1"/>
        <rFont val="Arial"/>
        <family val="2"/>
      </rPr>
      <t>)</t>
    </r>
    <phoneticPr fontId="2" type="noConversion"/>
  </si>
  <si>
    <t>ASIA PACIFIC</t>
  </si>
  <si>
    <t>YU</t>
    <phoneticPr fontId="2" type="noConversion"/>
  </si>
  <si>
    <t>Kaohsiung Taiwan Port</t>
    <phoneticPr fontId="2" type="noConversion"/>
  </si>
  <si>
    <t>參考的卸貨港</t>
    <phoneticPr fontId="2" type="noConversion"/>
  </si>
  <si>
    <t>參考的貨名</t>
    <phoneticPr fontId="2" type="noConversion"/>
  </si>
  <si>
    <t>參考的Marks</t>
    <phoneticPr fontId="2" type="noConversion"/>
  </si>
  <si>
    <t>Stuffing commenced</t>
    <phoneticPr fontId="61" type="noConversion"/>
  </si>
  <si>
    <t>Stuffing completed</t>
    <phoneticPr fontId="61" type="noConversion"/>
  </si>
  <si>
    <t>Finished shoring</t>
    <phoneticPr fontId="61" type="noConversion"/>
  </si>
  <si>
    <r>
      <rPr>
        <sz val="11"/>
        <color theme="1"/>
        <rFont val="細明體"/>
        <family val="2"/>
        <charset val="136"/>
      </rPr>
      <t>包材</t>
    </r>
    <r>
      <rPr>
        <sz val="11"/>
        <color theme="1"/>
        <rFont val="Arial"/>
        <family val="2"/>
      </rPr>
      <t>:</t>
    </r>
    <phoneticPr fontId="2" type="noConversion"/>
  </si>
  <si>
    <t>平放</t>
    <phoneticPr fontId="2" type="noConversion"/>
  </si>
  <si>
    <t>直立</t>
    <phoneticPr fontId="2" type="noConversion"/>
  </si>
  <si>
    <t xml:space="preserve">eye </t>
    <phoneticPr fontId="2" type="noConversion"/>
  </si>
  <si>
    <t>cycle</t>
    <phoneticPr fontId="2" type="noConversion"/>
  </si>
  <si>
    <t>Each horizontal coil appeared to be wrapped in a metal envelope with 4 outer and core protection steel rings, then secured 6 radial and 3 cycle flat metal strapping bands.</t>
    <phoneticPr fontId="2" type="noConversion"/>
  </si>
  <si>
    <t>moisture-resistance</t>
    <phoneticPr fontId="2" type="noConversion"/>
  </si>
  <si>
    <t>metal</t>
    <phoneticPr fontId="2" type="noConversion"/>
  </si>
  <si>
    <r>
      <rPr>
        <sz val="11"/>
        <color theme="1"/>
        <rFont val="新細明體"/>
        <family val="2"/>
        <charset val="136"/>
      </rPr>
      <t>平放</t>
    </r>
    <r>
      <rPr>
        <sz val="11"/>
        <color theme="1"/>
        <rFont val="Arial"/>
        <family val="2"/>
      </rPr>
      <t>&amp;</t>
    </r>
    <r>
      <rPr>
        <sz val="11"/>
        <color theme="1"/>
        <rFont val="新細明體"/>
        <family val="2"/>
        <charset val="136"/>
      </rPr>
      <t>直立</t>
    </r>
    <phoneticPr fontId="2" type="noConversion"/>
  </si>
  <si>
    <t>參考的packing</t>
    <phoneticPr fontId="2" type="noConversion"/>
  </si>
  <si>
    <t>Rain time</t>
    <phoneticPr fontId="61" type="noConversion"/>
  </si>
  <si>
    <t>Wetted coils</t>
    <phoneticPr fontId="61" type="noConversion"/>
  </si>
  <si>
    <t>Minerals Services</t>
    <phoneticPr fontId="2" type="noConversion"/>
  </si>
  <si>
    <t>INSPECTION REPORT</t>
    <phoneticPr fontId="2" type="noConversion"/>
  </si>
  <si>
    <t>Cargo:</t>
    <phoneticPr fontId="2" type="noConversion"/>
  </si>
  <si>
    <t>Container No.</t>
    <phoneticPr fontId="2" type="noConversion"/>
  </si>
  <si>
    <t>Quantity loaded</t>
    <phoneticPr fontId="2" type="noConversion"/>
  </si>
  <si>
    <t>輸入鋼捲編號</t>
    <phoneticPr fontId="2" type="noConversion"/>
  </si>
  <si>
    <r>
      <t xml:space="preserve"> )</t>
    </r>
    <r>
      <rPr>
        <u/>
        <sz val="11"/>
        <color theme="1"/>
        <rFont val="新細明體"/>
        <family val="2"/>
        <charset val="136"/>
      </rPr>
      <t>條平</t>
    </r>
    <r>
      <rPr>
        <u/>
        <sz val="11"/>
        <color theme="1"/>
        <rFont val="微軟正黑體"/>
        <family val="2"/>
        <charset val="136"/>
      </rPr>
      <t>行墊木並以木契固定</t>
    </r>
    <phoneticPr fontId="2" type="noConversion"/>
  </si>
  <si>
    <t>堆高機作業:</t>
  </si>
  <si>
    <t xml:space="preserve">    </t>
  </si>
  <si>
    <t>MARK:</t>
  </si>
  <si>
    <t>貨 況:</t>
  </si>
  <si>
    <t>空 櫃:</t>
  </si>
  <si>
    <t>固 定:</t>
  </si>
  <si>
    <t>輸入數量</t>
    <phoneticPr fontId="2" type="noConversion"/>
  </si>
  <si>
    <t>20'</t>
  </si>
  <si>
    <t xml:space="preserve">
	During the entire course of stuffing, steel coils where accessible were visually inspected on the exterior, and found to be appeared in general good order.</t>
    <phoneticPr fontId="2" type="noConversion"/>
  </si>
  <si>
    <t>1400</t>
    <phoneticPr fontId="2" type="noConversion"/>
  </si>
  <si>
    <t>1630</t>
    <phoneticPr fontId="2" type="noConversion"/>
  </si>
  <si>
    <t>one</t>
    <phoneticPr fontId="2" type="noConversion"/>
  </si>
  <si>
    <t>two</t>
    <phoneticPr fontId="2" type="noConversion"/>
  </si>
  <si>
    <t>three</t>
    <phoneticPr fontId="2" type="noConversion"/>
  </si>
  <si>
    <t>鋼索</t>
    <phoneticPr fontId="2" type="noConversion"/>
  </si>
  <si>
    <t>鐵帶</t>
    <phoneticPr fontId="2" type="noConversion"/>
  </si>
  <si>
    <t>尼龍</t>
    <phoneticPr fontId="2" type="noConversion"/>
  </si>
  <si>
    <t>steel wire ropes</t>
    <phoneticPr fontId="2" type="noConversion"/>
  </si>
  <si>
    <t>metal flat bands</t>
    <phoneticPr fontId="2" type="noConversion"/>
  </si>
  <si>
    <t>nylon span</t>
    <phoneticPr fontId="2" type="noConversion"/>
  </si>
  <si>
    <t>(是)</t>
    <phoneticPr fontId="2" type="noConversion"/>
  </si>
  <si>
    <t>(否)</t>
    <phoneticPr fontId="2" type="noConversion"/>
  </si>
  <si>
    <r>
      <t xml:space="preserve"> )</t>
    </r>
    <r>
      <rPr>
        <sz val="11"/>
        <color theme="1"/>
        <rFont val="新細明體"/>
        <family val="2"/>
        <charset val="136"/>
      </rPr>
      <t>條</t>
    </r>
    <phoneticPr fontId="2" type="noConversion"/>
  </si>
  <si>
    <t>metal / moisture-resistance</t>
    <phoneticPr fontId="2" type="noConversion"/>
  </si>
  <si>
    <t>Each coil is stowed in rows on the floorboards of each container, and wedges with wooden pieces against the containers' panels prevent the coils from shifting during the voyage.</t>
    <phoneticPr fontId="2" type="noConversion"/>
  </si>
  <si>
    <t>REMARKS</t>
    <phoneticPr fontId="2" type="noConversion"/>
  </si>
  <si>
    <t>Photos showing the cargo conditions are attached to offer the available images.
This report only reflects the quantity and the exterior condition of the cargo and does not relieve the parties from their contractual responsibilities.</t>
    <phoneticPr fontId="2" type="noConversion"/>
  </si>
  <si>
    <t>oOo</t>
    <phoneticPr fontId="2" type="noConversion"/>
  </si>
  <si>
    <t>W.O. No. MIN-</t>
    <phoneticPr fontId="61" type="noConversion"/>
  </si>
  <si>
    <t>Coils revealed to be labeled with the wording “--------, IC No. IB No., Funabashi, No., Made in Taiwan, Net, Gross, etc.” at one side and on core package respectively.</t>
    <phoneticPr fontId="2" type="noConversion"/>
  </si>
  <si>
    <t>wooden pallet</t>
  </si>
  <si>
    <t>Cloudy</t>
  </si>
  <si>
    <t>(否)</t>
  </si>
  <si>
    <t>1110-1111</t>
    <phoneticPr fontId="2" type="noConversion"/>
  </si>
  <si>
    <r>
      <t xml:space="preserve">) </t>
    </r>
    <r>
      <rPr>
        <u/>
        <sz val="11"/>
        <color theme="1"/>
        <rFont val="微軟正黑體"/>
        <family val="2"/>
        <charset val="136"/>
      </rPr>
      <t>綑綁</t>
    </r>
    <phoneticPr fontId="2" type="noConversion"/>
  </si>
  <si>
    <t>MING</t>
    <phoneticPr fontId="2" type="noConversion"/>
  </si>
  <si>
    <t>ANL</t>
  </si>
  <si>
    <t>CMA  CGM  FIORDLAND  455S</t>
  </si>
  <si>
    <t>9086</t>
  </si>
  <si>
    <t>櫃號／封條</t>
  </si>
  <si>
    <t>TRHU1806303</t>
  </si>
  <si>
    <t>CML4151091</t>
  </si>
  <si>
    <t>AWT0182894</t>
  </si>
  <si>
    <t>T.WT</t>
  </si>
  <si>
    <t>G.WT</t>
  </si>
  <si>
    <t>VGM</t>
  </si>
  <si>
    <t>TEMU5814561</t>
  </si>
  <si>
    <t>CML4151085</t>
  </si>
  <si>
    <t>TGHU3285877</t>
  </si>
  <si>
    <t>CML4151051</t>
  </si>
  <si>
    <t>OPDU2049599</t>
  </si>
  <si>
    <t>CML4151122</t>
  </si>
  <si>
    <t>GLDU9638213</t>
  </si>
  <si>
    <t>CML4151082</t>
  </si>
  <si>
    <r>
      <t>COL</t>
    </r>
    <r>
      <rPr>
        <sz val="14"/>
        <rFont val="細明體"/>
        <family val="3"/>
        <charset val="136"/>
      </rPr>
      <t xml:space="preserve"> NO.</t>
    </r>
  </si>
  <si>
    <t>TTL:</t>
  </si>
  <si>
    <t>A1</t>
  </si>
  <si>
    <t>A2</t>
  </si>
  <si>
    <t>A3</t>
  </si>
  <si>
    <t>SUMMARY:</t>
  </si>
  <si>
    <t>櫃號</t>
    <phoneticPr fontId="2" type="noConversion"/>
  </si>
  <si>
    <t>封條</t>
    <phoneticPr fontId="2" type="noConversion"/>
  </si>
  <si>
    <r>
      <rPr>
        <sz val="11"/>
        <rFont val="新細明體"/>
        <family val="2"/>
        <charset val="136"/>
      </rPr>
      <t>櫃別</t>
    </r>
    <r>
      <rPr>
        <sz val="11"/>
        <rFont val="細明體"/>
        <family val="2"/>
        <charset val="136"/>
      </rPr>
      <t>：</t>
    </r>
    <phoneticPr fontId="2" type="noConversion"/>
  </si>
  <si>
    <r>
      <rPr>
        <sz val="11"/>
        <rFont val="新細明體"/>
        <family val="2"/>
        <charset val="136"/>
      </rPr>
      <t>櫃數</t>
    </r>
    <r>
      <rPr>
        <sz val="11"/>
        <rFont val="細明體"/>
        <family val="2"/>
        <charset val="136"/>
      </rPr>
      <t>：</t>
    </r>
    <phoneticPr fontId="2" type="noConversion"/>
  </si>
  <si>
    <r>
      <rPr>
        <sz val="11"/>
        <color theme="1"/>
        <rFont val="新細明體"/>
        <family val="1"/>
        <charset val="136"/>
      </rPr>
      <t>破</t>
    </r>
    <phoneticPr fontId="99" type="noConversion"/>
  </si>
  <si>
    <r>
      <rPr>
        <sz val="11"/>
        <color theme="1"/>
        <rFont val="新細明體"/>
        <family val="1"/>
        <charset val="136"/>
      </rPr>
      <t>彎</t>
    </r>
    <phoneticPr fontId="99" type="noConversion"/>
  </si>
  <si>
    <r>
      <rPr>
        <sz val="11"/>
        <color theme="1"/>
        <rFont val="新細明體"/>
        <family val="1"/>
        <charset val="136"/>
      </rPr>
      <t>凹</t>
    </r>
    <phoneticPr fontId="99" type="noConversion"/>
  </si>
  <si>
    <r>
      <rPr>
        <sz val="11"/>
        <color theme="1"/>
        <rFont val="新細明體"/>
        <family val="1"/>
        <charset val="136"/>
      </rPr>
      <t>脫</t>
    </r>
    <phoneticPr fontId="99" type="noConversion"/>
  </si>
  <si>
    <r>
      <rPr>
        <sz val="11"/>
        <color theme="1"/>
        <rFont val="新細明體"/>
        <family val="1"/>
        <charset val="136"/>
      </rPr>
      <t>皺</t>
    </r>
    <phoneticPr fontId="99" type="noConversion"/>
  </si>
  <si>
    <r>
      <rPr>
        <sz val="11"/>
        <color theme="1"/>
        <rFont val="新細明體"/>
        <family val="1"/>
        <charset val="136"/>
      </rPr>
      <t>刮</t>
    </r>
    <phoneticPr fontId="99" type="noConversion"/>
  </si>
  <si>
    <r>
      <rPr>
        <sz val="11"/>
        <color theme="1"/>
        <rFont val="新細明體"/>
        <family val="1"/>
        <charset val="136"/>
      </rPr>
      <t>凸</t>
    </r>
    <phoneticPr fontId="99" type="noConversion"/>
  </si>
  <si>
    <t>鏽</t>
    <phoneticPr fontId="99" type="noConversion"/>
  </si>
  <si>
    <t>dented</t>
    <phoneticPr fontId="2" type="noConversion"/>
  </si>
  <si>
    <t>bent</t>
    <phoneticPr fontId="2" type="noConversion"/>
  </si>
  <si>
    <t>broken</t>
    <phoneticPr fontId="2" type="noConversion"/>
  </si>
  <si>
    <t>loosened</t>
    <phoneticPr fontId="2" type="noConversion"/>
  </si>
  <si>
    <t>wrinkled</t>
    <phoneticPr fontId="2" type="noConversion"/>
  </si>
  <si>
    <t>scratches</t>
    <phoneticPr fontId="2" type="noConversion"/>
  </si>
  <si>
    <t>撕</t>
    <phoneticPr fontId="99" type="noConversion"/>
  </si>
  <si>
    <t>telescoped</t>
    <phoneticPr fontId="2" type="noConversion"/>
  </si>
  <si>
    <t>rusted</t>
    <phoneticPr fontId="2" type="noConversion"/>
  </si>
  <si>
    <t>油</t>
    <phoneticPr fontId="99" type="noConversion"/>
  </si>
  <si>
    <t>oil-stained</t>
    <phoneticPr fontId="99" type="noConversion"/>
  </si>
  <si>
    <t>側</t>
    <phoneticPr fontId="99" type="noConversion"/>
  </si>
  <si>
    <t>V</t>
    <phoneticPr fontId="99" type="noConversion"/>
  </si>
  <si>
    <t>範圍</t>
    <phoneticPr fontId="99" type="noConversion"/>
  </si>
  <si>
    <t>包裝帶</t>
    <phoneticPr fontId="99" type="noConversion"/>
  </si>
  <si>
    <t>內</t>
    <phoneticPr fontId="99" type="noConversion"/>
  </si>
  <si>
    <t>外</t>
    <phoneticPr fontId="99" type="noConversion"/>
  </si>
  <si>
    <t>eye/cycle packing metal/plastic band(s).</t>
    <phoneticPr fontId="99" type="noConversion"/>
  </si>
  <si>
    <t>側內</t>
    <phoneticPr fontId="99" type="noConversion"/>
  </si>
  <si>
    <t>側外</t>
    <phoneticPr fontId="99" type="noConversion"/>
  </si>
  <si>
    <t>at one side edge of inner windings.</t>
    <phoneticPr fontId="99" type="noConversion"/>
  </si>
  <si>
    <t>at one side edge of outer windings.</t>
    <phoneticPr fontId="99" type="noConversion"/>
  </si>
  <si>
    <t>on outer surface.</t>
    <phoneticPr fontId="99" type="noConversion"/>
  </si>
  <si>
    <t>at eye surface.</t>
    <phoneticPr fontId="99" type="noConversion"/>
  </si>
  <si>
    <t>側中</t>
    <phoneticPr fontId="99" type="noConversion"/>
  </si>
  <si>
    <t>at one side edge of middle windings.</t>
    <phoneticPr fontId="99" type="noConversion"/>
  </si>
  <si>
    <t>裸裝</t>
    <phoneticPr fontId="99" type="noConversion"/>
  </si>
  <si>
    <t>torn</t>
    <phoneticPr fontId="2" type="noConversion"/>
  </si>
  <si>
    <t>直立</t>
  </si>
  <si>
    <t>PPG112546</t>
  </si>
  <si>
    <t>PPG112547</t>
  </si>
  <si>
    <t>PPG112548</t>
  </si>
  <si>
    <t>PPG112549</t>
  </si>
  <si>
    <t>PPG112550</t>
  </si>
  <si>
    <t>PPG112551</t>
  </si>
  <si>
    <t>PPG112552</t>
  </si>
  <si>
    <t>PPG112553</t>
  </si>
  <si>
    <t>PPG112555</t>
  </si>
  <si>
    <t>PPG112556</t>
  </si>
  <si>
    <t>PPG112557</t>
  </si>
  <si>
    <t>PPG112558</t>
  </si>
  <si>
    <t>PPG112559</t>
  </si>
  <si>
    <t>上</t>
    <phoneticPr fontId="99" type="noConversion"/>
  </si>
  <si>
    <t>下</t>
    <phoneticPr fontId="99" type="noConversion"/>
  </si>
  <si>
    <t>底</t>
    <phoneticPr fontId="99" type="noConversion"/>
  </si>
  <si>
    <t>包裝（H）</t>
    <phoneticPr fontId="99" type="noConversion"/>
  </si>
  <si>
    <t>包裝（V）</t>
    <phoneticPr fontId="99" type="noConversion"/>
  </si>
  <si>
    <t xml:space="preserve"> </t>
    <phoneticPr fontId="99" type="noConversion"/>
  </si>
  <si>
    <r>
      <t>Loading Inspection Field Report (damage</t>
    </r>
    <r>
      <rPr>
        <b/>
        <u/>
        <sz val="11"/>
        <color theme="1"/>
        <rFont val="新細明體"/>
        <family val="2"/>
        <charset val="136"/>
      </rPr>
      <t>表格</t>
    </r>
    <r>
      <rPr>
        <b/>
        <u/>
        <sz val="11"/>
        <color theme="1"/>
        <rFont val="Arial"/>
        <family val="2"/>
      </rPr>
      <t>)</t>
    </r>
    <phoneticPr fontId="99" type="noConversion"/>
  </si>
  <si>
    <t>HOT-ROLLED STEEL PLAIN END E.R.W. PIPE/BPE AND/OR POST-HOT-DIP ZINC-COATED STEEL PLAIN END E.R.W. PIPE/GPE &amp; HOT-ROLLED STEEL RECTANGULAR E.R.W. TUBING/RE AND/OR HOT-ROLLED STEEL SQUARE E.R.W. TUBING/SQ</t>
    <phoneticPr fontId="2" type="noConversion"/>
  </si>
  <si>
    <t>Vancouver, BC, Canada</t>
  </si>
  <si>
    <t>Bundles revealed to be tagged with the wording “Invoice No., Vancouver, B.C., Size, Net Weight, Gross Weight, Bundle No., Order No., Pcs/Bundle, Made in Taiwan, Customer PO, Customer, etc.” at both ends respectively.</t>
    <phoneticPr fontId="2" type="noConversion"/>
  </si>
  <si>
    <t>Eternal Steel Co., Ltd.</t>
  </si>
  <si>
    <t>HOT-ROLLED STEEL PLAIN END E.R.W. PIPE/BPE</t>
    <phoneticPr fontId="2" type="noConversion"/>
  </si>
  <si>
    <t>Bundles revealed to be tagged with the wording “Invoice No., Vancouver, BC, Canada, Size, Net Weight, Gross Weight, Bundle No., Order No, Pcs/Bundle, Made in Taiwan, Cust, Cust PO, etc.” at both ends respectively.</t>
    <phoneticPr fontId="2" type="noConversion"/>
  </si>
  <si>
    <t>Salzgitter Mannesmann International GmbH</t>
  </si>
  <si>
    <t>Prime hot rolled steel plain end E.R.W. carbon standard steel pipe/BPE</t>
  </si>
  <si>
    <t>Vancouver, B.C., Canada</t>
  </si>
  <si>
    <t>Bundles revealed to be tagged with the wording “Invoice No., Vancouver, B.C., Canada, Size, Net Weight, Gross Weight, Bundle No., Order No, Pcs/Bundle, Made in Taiwan, Cust, Cust PO, etc.” and painted with color code at both ends respectively.</t>
  </si>
  <si>
    <t>Corestock Industrial Supply Ltd.</t>
  </si>
  <si>
    <t>HOT-ROLLED STEEL PLAIN END E.R.W. PIPE/BPE &amp; POST-HOT-DIP ZINC-COATED STEEL PLAIN END E.R.W. PIPE/GPE</t>
    <phoneticPr fontId="2" type="noConversion"/>
  </si>
  <si>
    <t>Bundles revealed to be tagged with the wording “Invoice No., Vancouver, BC, Canada, Size, Net Weight, Gross Weight, Bundle No., Order No, Pcs/Bundle, Made in Taiwan, Cust, etc.” at both ends respectively.</t>
    <phoneticPr fontId="2" type="noConversion"/>
  </si>
  <si>
    <t>CCD Traders</t>
  </si>
  <si>
    <t>HOT-ROLLED STEEL PLAIN END E.R.W. PIPE/BPE &amp; POST-HOT-DIP ZINC-COATED STEEL PLAIN END E.R.W. PIPE/GPE &amp; HOT-ROLLED STEEL RECTANGULAR E.R.W. TUBING/RE &amp; HOT-ROLLED STEEL SQUARE E.R.W. TUBING/SQ</t>
    <phoneticPr fontId="2" type="noConversion"/>
  </si>
  <si>
    <t>Bundles revealed to be tagged with the wording “Invoice No., Vancouver, BC, Canada, Size, Net Weight, Gross Weight, Bundle No., Order No., Pcs/Bundle, Made in Taiwan, Cust, Cust PO, etc.” at both ends respectively.</t>
    <phoneticPr fontId="2" type="noConversion"/>
  </si>
  <si>
    <t>G P Marketing International Pty Ltd, North Sydney NSW 2059</t>
  </si>
  <si>
    <t>ERW Pregalvanised SHS/RHS Tube to AS/NZS1163:2016 C350, ERW Circular Tube JIS G3445 STKRM11A</t>
    <phoneticPr fontId="2" type="noConversion"/>
  </si>
  <si>
    <t>Brisbane, Australia</t>
  </si>
  <si>
    <t>Bundles revealed to be tagged with the wording “Invoice No., Discharge port, Order No., Size, Net Weight, Gross Weight, Bundle No., Pcs/Bundle, Made in Taiwan, AS/NZS 1163-C350/C350L0, etc.”</t>
    <phoneticPr fontId="2" type="noConversion"/>
  </si>
  <si>
    <t>Optima Steel International, LLC, CA 94523</t>
  </si>
  <si>
    <t>CARBON STEEL E.R.W. PIPE WITH LACQUER COATING, PLAIN ENDS/API 5CT J55</t>
    <phoneticPr fontId="2" type="noConversion"/>
  </si>
  <si>
    <t>Houston, TX, United States</t>
  </si>
  <si>
    <t>Pipes revealed to be labelled with “Invoice No., Houston, TX, United States, Size, Net Weight, Gross Weight, Bundle No., Order No., Pcs/Bundle, Made in Taiwan, Cust, Cust PO, etc.” on the outer surface near end, then encircled a green line on circumferential surface and painted with blue code at both ends respectively.</t>
  </si>
  <si>
    <t>Commercial Steel Products, LLC, TX 75219</t>
  </si>
  <si>
    <t>Pipes revealed to be labelled with “Invoice No., Houston, TX, United States, Size, Net Weight, Gross Weight, Bundle No., Order No., Pcs/Bundle, Made in Taiwan, Cust, etc.” on the inner surface near end, and encircled a green line on circumferential surface respectively.</t>
  </si>
  <si>
    <t>Trek Metals, Inc., TX 75039</t>
  </si>
  <si>
    <t>API 5CT J55 E.R.W. PSL1 TENTH EDITION, 2018</t>
    <phoneticPr fontId="2" type="noConversion"/>
  </si>
  <si>
    <t>Duferco SA</t>
  </si>
  <si>
    <t>ERW Carbon Steel Pipe, Plain Ends Square Cut, with Mill’s Laquer Coating as per API 5CT J55 PSL-1</t>
    <phoneticPr fontId="2" type="noConversion"/>
  </si>
  <si>
    <t>Houston, USA</t>
  </si>
  <si>
    <t>Pipes revealed to be labelled with “Invoice No., Houston, USA, Size, Net Weight, Gross Weight, Bundle No., Order No., Pcs/Bundle, Made in Taiwan, Cust PO, Cust, etc.” on the outer surface near end, and encircled a green line on circumferential surface respectively.</t>
  </si>
  <si>
    <t>Thyssenkrupp Materials Trading North America, MI 48033</t>
  </si>
  <si>
    <t>CARBON STEEL E.R.W. PIPE, LACQUER COATING, PLAIN END AS PER API 5CT J55 E.R.W. PSL1 TENTHEDITION (2018)</t>
    <phoneticPr fontId="2" type="noConversion"/>
  </si>
  <si>
    <t>Houston, TX, USA</t>
  </si>
  <si>
    <t>Pipes revealed to be labelled with “Invoice No., Houston, TX, USA, Size, Net Weight, Gross Weight, Bundle No., Cust PO, Pcs/Bundle, Made in Taiwan, Thyssenkrupp Materials Trading North America PO, etc.” on the inner surface near end, and encircled a green line on circumferential surface respectively.</t>
  </si>
  <si>
    <t>Framecad Limited</t>
  </si>
  <si>
    <t>ERW PRE GALVANISED SHS/RHS TUBE</t>
    <phoneticPr fontId="2" type="noConversion"/>
  </si>
  <si>
    <t>Motukea, Papua New Guinea</t>
  </si>
  <si>
    <t>Bundles revealed to be tagged with the wording “Invoice No., Discharge port, Order No., Size, Net Weight, Gross Weight, Bundle No., Pcs/Bundle, Made in Taiwan, AS/NZS 1163-C350, etc.” near end respectively.</t>
    <phoneticPr fontId="2" type="noConversion"/>
  </si>
  <si>
    <t>Bundles revealed to be tagged with the wording “Invoice No., Vancouver, B.C., Canada, Size, Net Weight, Gross Weight, Bundle No., Order No, Pcs/Bundle, Made in Taiwan, Cust, Cust PO, etc.” and painted with color code at both ends respectively.</t>
    <phoneticPr fontId="2" type="noConversion"/>
  </si>
  <si>
    <t>JFE Shoji America, LLC</t>
  </si>
  <si>
    <t>HOT-ROLLED STEEL SQUARE E.R.W. TUBING/SQ</t>
    <phoneticPr fontId="2" type="noConversion"/>
  </si>
  <si>
    <t>Vancouver, B.C. Canada</t>
  </si>
  <si>
    <t>The shipment appeared to be tagged with the wording “Invoice No., Vancouver, B.C. Canada, Size, Net Weight, Gross Weight, Bundle No., JFE P.O. No., Pcs/Bundle, Made in Taiwan, P.O. No., Customer, etc.” at both ends respectively.</t>
    <phoneticPr fontId="2" type="noConversion"/>
  </si>
  <si>
    <t>CCD Traders / Eternal Steel Co., Ltd.</t>
  </si>
  <si>
    <t>THREADED (SCREWED) END E.R.W. PIPE/BTC &amp; CARBON STEEL E.R.W. PIPE WITH LACQUER COATING, PLAIN ENDS API 5CT J55</t>
  </si>
  <si>
    <t>The shipment in bundle revealed to be tagged with the wording “Invoice No., Vancouver, BC, Canada, Size, Net Weight, Gross Weight, Bundle No., Order No, Pcs/Bundle, Made in Taiwan, Cust, Cust PO, etc.” at both ends, while the shipment in loose was labelled the same wording on the inner surface near end, and encircled a green line on circumferential surface respectively.</t>
  </si>
  <si>
    <t>Mitsui &amp; Co. (Canada) Ltd.</t>
    <phoneticPr fontId="2" type="noConversion"/>
  </si>
  <si>
    <t>HOT-ROLLED STEEL SQUARE E.R.W. TUBING/SQ or HOT-ROLLED STEEL RECTANGULAR E.R.W. TUBING/RE</t>
    <phoneticPr fontId="2" type="noConversion"/>
  </si>
  <si>
    <t>Bundles revealed to be tagged with the wording“Invoice No., Vancouver, BC, Canada, Size, Net Weight, Gross Weight, Bundle No., Pcs/Bundle, Cust, Cust Po, Made in Taiwan, etc.” at both ends respectively.</t>
    <phoneticPr fontId="2" type="noConversion"/>
  </si>
  <si>
    <t>POST-HOT-DIP ZINC-COATED STEEL PLAIN END E.R.W. PIPE/GPE &amp; HOT-ROLLED STEEL PLAIN END E.R.W. PIPE/BPE</t>
    <phoneticPr fontId="2" type="noConversion"/>
  </si>
  <si>
    <t>The goods in bundles revealed to be tagged with the wording “Invoice No., Vancouver, BC, Canada, Size, Net Weight, Gross Weight, Bundle No., Order No, Pcs/Bundle, Made in Taiwan, Cust, Cust PO, etc.” at both ends.</t>
  </si>
  <si>
    <t>Bundles revealed to be tagged with the wording “Invoice No., Vancouver, BC, Canada, Size, Net Weight, Gross Weight, Bundle No., Order No, Pcs/Bundle, Made in Taiwan, Cust, etc.” at both ends respectively.</t>
  </si>
  <si>
    <t>Seah Steel America Inc, CA 92614</t>
  </si>
  <si>
    <t>E.R.W. API 5CT GR. J-55</t>
  </si>
  <si>
    <t>Pipes revealed to be labelled with “Invoice No., Houston, U.S.A, Size, Net Weight, Gross Weight, Bundle No., Order No., Pcs/Bundle, Made in Taiwan, Cust, etc.” on the outer surface near end, and encircled a green line on circumferential surface respectively.</t>
  </si>
  <si>
    <t>Pusan Pipe America, Inc (DBA SeAH Steel America Inc), CA 92614</t>
  </si>
  <si>
    <t>Houston, U.S.A</t>
  </si>
  <si>
    <t>SBI/Commercial Steel Products, LLC</t>
  </si>
  <si>
    <t>Carbon Steel E.R.W. Pipe with Lacquer Coating, Plain Ends/API 5CT J55</t>
    <phoneticPr fontId="2" type="noConversion"/>
  </si>
  <si>
    <t>Pipes revealed to be labelled with “Invoice No., Houston, TX, United States, Size, Net Weight, Gross Weight, Bundle No., Order No., Pcs/Bundle, Made in Taiwan, Cust, etc.” on the outer surface near end, and encircled a green line on circumferential surface respectively.</t>
  </si>
  <si>
    <t>Marsden International (NZ) Lim, Tauranga, NZ 3110</t>
  </si>
  <si>
    <t>HOT-ROLLED STEEL PLAIN END E.R.W. PIPE</t>
    <phoneticPr fontId="2" type="noConversion"/>
  </si>
  <si>
    <t>Bundles appeared to be labeled with the wording “FZP21W9B, Napier, New Zealand, Order No., Size, Net Weight, Gross Weight, Bundle No., Pcs/Bundle, Made in Taiwan, AS/NZS 1163-C350, etc.” at packing bands near one end each.</t>
  </si>
  <si>
    <t xml:space="preserve">Steel and Tube Holdings Limited, Auckland 2013 New Zealand </t>
  </si>
  <si>
    <t>COLD FORMED FROM PRE-HOT-DIP ZINC-COATED COIL - SQUARE &amp; RECTANGULAR E.R.W. PIPE/ COLD FORMED FROM HOT ROLLED COIL - SQUARE &amp; RECTANGULAR E.R.W. PIPE</t>
    <phoneticPr fontId="2" type="noConversion"/>
  </si>
  <si>
    <t>Lyttelton, New Zealand</t>
  </si>
  <si>
    <t>Bundles revealed to be labeled with the wording “Steel and Tube, PO No., Lyttelton / Tauranga, Invoice No., Size, etc.” at packing bands near one end each.</t>
  </si>
  <si>
    <t>COLD FORMED FROM HOT ROLLED COIL - SQUARE &amp; RECTANGULAR E.R.W. PIPE</t>
  </si>
  <si>
    <t>COLD FORMED FROM PRE-HOT-DIP ZINC-COATED COIL - SQUARE &amp; RECTANGULAR E.R.W. PIP</t>
  </si>
  <si>
    <t>Tauranga, New Zealand</t>
  </si>
  <si>
    <t>G P Marketing International Pty Ltd., Sydney NSW 2059 Australia</t>
  </si>
  <si>
    <t>ERW PREGALVANISED SHS/RHS TUBE TO AS/NZS1163: 2016 C350, ERW CIRCULAR TUBE JIS G3445 STKRM11A</t>
    <phoneticPr fontId="2" type="noConversion"/>
  </si>
  <si>
    <t xml:space="preserve">Brisbane, Australia </t>
  </si>
  <si>
    <t>Bundles revealed to be labeled with the wording “FAP2212A / FAP2213A, Brisbane, Australia, Order No., Size, Net Weight, Gross Weight, Bundle No., Pcs/Bundle, Made in Taiwan, AS/NZS 1163-C350, AS/NZS 1163-C350L0, etc.” at packing bands near one end each.</t>
  </si>
  <si>
    <t>PRE-HOT-DIP ZINC-COATED STEEL E.R.W. PIPE</t>
    <phoneticPr fontId="2" type="noConversion"/>
  </si>
  <si>
    <t>Auckland, New Zealand</t>
  </si>
  <si>
    <t>Bundles revealed to be labeled with the wording “Invoice No., Auckland / Wellington, New Zealand, Order No., Size, Net Weight, Gross Weight, Bundle No., Pcs/ Bundle, Made in Taiwan, AS/NZS 1163-C350, etc.” at packing bands near one end each.</t>
  </si>
  <si>
    <t>POST-HOT-DIP ZINC-COATED STEEL E.R.W. PIPE</t>
    <phoneticPr fontId="2" type="noConversion"/>
  </si>
  <si>
    <t>Wellington, New Zealand</t>
  </si>
  <si>
    <t>Macsteel International Australia Pty Ltd., VIC, 3121, Australia</t>
  </si>
  <si>
    <t>PRE-HOT-DIP ZINC-COATED STEEL SQUARE AND RECTANGULAR ERW PIPE TO AS/NZS 1163: 2016 C350</t>
    <phoneticPr fontId="2" type="noConversion"/>
  </si>
  <si>
    <t>Sydney, Australia</t>
  </si>
  <si>
    <t>Bundles revealed to be labeled with the wording “FAP2226A, Sydney, Australia, Order No. 179610, Size, Net Weight, Gross Weight, Bundle No., Pcs/Bundle, Made in Taiwan, AS/NZS 1163-C350, etc.” at packing bands near one end each.</t>
  </si>
  <si>
    <t>Tiger Sangyo Co., Ltd., Okinawa, Japan, 904-2234</t>
  </si>
  <si>
    <t>PRE-HOT-DIP ZINC-COATED STEEL SQUARE ERW PIPE JIS G 3466 STKR490 N221108-1</t>
    <phoneticPr fontId="2" type="noConversion"/>
  </si>
  <si>
    <t>Osaka, Japan</t>
  </si>
  <si>
    <t>Bundles appeared to be labeled with the wording “FJP2216A, Osaka, Japan, Size, Net Weight, Gross Weight, Bundle No., Cust PO:, Pcs/Bundle, Made in Taiwan, etc.” at packing bands near one end each.</t>
  </si>
  <si>
    <t>Seeing Industrial Corp., Kaohsiung</t>
  </si>
  <si>
    <t>ERW CARBON STEEL PIPE SPEC TO JIS G3466, STK400 (WITH JIS MARK)</t>
    <phoneticPr fontId="2" type="noConversion"/>
  </si>
  <si>
    <t>Manila, Philippines</t>
  </si>
  <si>
    <t>Bundles appeared to be labeled with the wording “FVP21W7A, Manila, Philippines, Size, Net Weight, Gross Weight, Bundle No., Order No., Pcs/Bundle, Made in Taiwan, Cust PO: 082622-50, etc.” at packing bands near one end each.</t>
  </si>
  <si>
    <t>Y.M. Steel Co., Ltd., Osaka Japan</t>
  </si>
  <si>
    <t>HOT-ROLLED STEEL SQUARE E.R.W. TUBE</t>
    <phoneticPr fontId="2" type="noConversion"/>
  </si>
  <si>
    <t>Bundles appeared to be labeled with the wording “FJP2222, Osaka, Japan, Size, Net Weight, Gross Weight, Bundle No., Pcs/Bundle, Made in Taiwan, etc.” at packing bands near one end each.</t>
  </si>
  <si>
    <t>Thai Benkan Co., Ltd., Samutprakarn 10130, Thailand</t>
  </si>
  <si>
    <t>ERW CARBON STEEL PIPE SPEC: JIS G 3452 SGP</t>
    <phoneticPr fontId="2" type="noConversion"/>
  </si>
  <si>
    <t>Bundles appeared to be labeled with the wording “FPP2245, TBC, Bangkok, CS22093, Size, Pkg No., Made in Taiwan, etc.” at packing bands near one end each.</t>
  </si>
  <si>
    <t>Innomax Co., Ltd., British Virgin Islands</t>
  </si>
  <si>
    <t>Osaka Japan</t>
    <phoneticPr fontId="2" type="noConversion"/>
  </si>
  <si>
    <t>Framecad Limited, Auckland New Zealand/NZ</t>
  </si>
  <si>
    <t>ERW PRE GALVANISED SHS/RHS TUBE TO AS/NZS 1163: 2016 C350 AND/OR SYS 1163 C350</t>
    <phoneticPr fontId="2" type="noConversion"/>
  </si>
  <si>
    <t>Bundles revealed to be labeled with the wording “Invoice No., Motukea, Papua New Guinea, Order No., Size, Net Weight, Gross Weight, Bundle No., Pcs/Bundle, Made in Taiwan, AS/NZS 1163-C350, etc.” at packing bands near one end each.</t>
  </si>
  <si>
    <t>Peak Products, BC V7A5E2 CA</t>
  </si>
  <si>
    <t xml:space="preserve">PRE-HOT-DIP ZINC-COATED STEEL PLAIN END E.R.W. PIPE/GPE </t>
    <phoneticPr fontId="2" type="noConversion"/>
  </si>
  <si>
    <t>Bundles appeared to be labeled with the wording “FCP31Z2, Vancouver, BC, Canada, Size, Net Weight, Gross Weight, Bundle No., Order No., Pcs/Bundle, Made in Taiwan, Customer Peak Products, etc.” at packing bands near one end each.</t>
  </si>
  <si>
    <t>Hanwa Co., Ltd., Tokyo 104-8429, Japan</t>
    <phoneticPr fontId="2" type="noConversion"/>
  </si>
  <si>
    <t>Tokyo Port, Japan</t>
    <phoneticPr fontId="2" type="noConversion"/>
  </si>
  <si>
    <t>Bundles appeared to be labeled with the wording “PO NO. 23KE-8397, JIS G 3444 STK490, Size, Plain End or/and Beveled End, Shin Yang Steel, Made in Taiwan, etc.” at packing bands near one end each</t>
  </si>
  <si>
    <t>W M S Co., Ltd., Osaka, Japan</t>
  </si>
  <si>
    <t xml:space="preserve">HOT-ROLLED STEEL PLAIN END E.R.W. PIPE JIS G 3444 STK490 </t>
    <phoneticPr fontId="2" type="noConversion"/>
  </si>
  <si>
    <t>Moji, Japan</t>
  </si>
  <si>
    <t>Bundles appeared to be labeled with the wording “FJP32C2, Moji, Japan, Size, Net Weight, Gross Weight, Bundle No., Pcs/Bundle, Made in Taiwan, etc.” at packing bands near one end each.</t>
  </si>
  <si>
    <t>Nippon Steel Trading (Thailand) Co., Ltd., Bangkok 10260, Thailand</t>
  </si>
  <si>
    <t>Bangkok, Thiland</t>
  </si>
  <si>
    <t>Bundles revealed to be labeled with the wording “Benkan Vietnam, P.O.No., Net Weight, Gross Weight, Made in Taiwan, etc.” at packing bands near one end.</t>
  </si>
  <si>
    <t>Stemcor USA Inc., FL 33309-6161, USA</t>
  </si>
  <si>
    <t>PRE-HOT-DIP ZINC-COATED STEEL SWAGED E.R.W. PIPE/SWP SYS EN 10255 S195T Z275</t>
    <phoneticPr fontId="2" type="noConversion"/>
  </si>
  <si>
    <t>Bundles appeared to be labeled with the wording “FCP3283, Vancouver, BC, Canada, Size, Net Weight, Gross Weight, Bundle No., Order No. EXP-2037, Pcs/Bundle, Made in Taiwan, Cust: NAP Steel-Vancouver, Cust PO: 407887, etc.” at packing bands near one end each.</t>
  </si>
  <si>
    <t>ERW CARBON STEEL PIPE SPEC: JIS G 3452 SGP</t>
  </si>
  <si>
    <t>Bangkok, Thailand</t>
  </si>
  <si>
    <t>Bundles appeared to be labeled with the wording “FPP32E1, TBC, Bangkok, CS23064, Size, Pkg No., Made in Taiwan, etc.” at packing bands near one end each.</t>
  </si>
  <si>
    <t>Olbert Metal Sales Limited, Mississauga Ontario Canada</t>
    <phoneticPr fontId="2" type="noConversion"/>
  </si>
  <si>
    <t>Coils revealed to be labeled with the wording “---------, Olbert, PO No. , No., Made in Taiwan, R.O.C., etc.” at the exterior surface each.</t>
    <phoneticPr fontId="2" type="noConversion"/>
  </si>
  <si>
    <t>Coils revealed to be labeled with the wording “---------, Guangzhou Kyh Metal, invoice No., No., Made in Taiwan, etc.” at the exterior surface each.</t>
    <phoneticPr fontId="2" type="noConversion"/>
  </si>
  <si>
    <t>Coils revealed to be labeled with the wording “-------, IC No., Chiba, No., Made in Taiwan, Net, Gross, etc.” on surface.</t>
    <phoneticPr fontId="2" type="noConversion"/>
  </si>
  <si>
    <t>Coils revealed to be labeled with the wording “--------, Grade, Size, N.W., G.W., MIK No., Made in Taiwan, etc.” at the exterior surface each.</t>
    <phoneticPr fontId="2" type="noConversion"/>
  </si>
  <si>
    <t>Coils revealed to be labeled with the wording “---------, Steel Color, La Spezia Port, Italy, Order No., No., Made in Taiwan, etc.” at the exterior surface each.</t>
    <phoneticPr fontId="2" type="noConversion"/>
  </si>
  <si>
    <t>Coils revealed to be labeled with the wording “---------, Order No.: , Quality: EN 10028 1.4301, Finish: 2D, Size:/N.W.;/G.W.:/Heat No., No., etc.” at the exterior surface each.</t>
    <phoneticPr fontId="2" type="noConversion"/>
  </si>
  <si>
    <t>COLD ROLLED STAINLESS STEEL SHEET IN COIL NO. 4 FINISH</t>
    <phoneticPr fontId="2" type="noConversion"/>
  </si>
  <si>
    <t>Montreal, Canada</t>
    <phoneticPr fontId="2" type="noConversion"/>
  </si>
  <si>
    <t>Next, 3 coils with cores toward fore and aft were stowed in the longitudinal row on these timber beams in the container. Then, wooden supports were assembled for the coils to prevent coils from tripping during transportation such as blocks and shorts chocked beneath coils, also battens and shorts shored up at gaps against between the available sides of the coils, and fore, left, right panels and the floorboards of each container so as to hinder the coils from shifting. Obviously, no coil was presented to touch the floorboards or panels of any container. (Photo No. 3-6)</t>
    <phoneticPr fontId="2" type="noConversion"/>
  </si>
  <si>
    <t>At first, each spare container was laid with two parallel lines of wooden timber beams on floors near to the longitudinal center line in order to distribute the coil weight as dunnage. (Photo No. 2)</t>
    <phoneticPr fontId="2" type="noConversion"/>
  </si>
  <si>
    <t>2 or 3 coils with 2 single lines of wooden dunnage and a rectangular wooden board (for coil weight over 12 MT only) under each coil on the wooden floorboards in each container were shored and chocked with wooden blocks and shorts against fore, left and right panels to prevent coils from tripping during the voyage. (Photo No. 3-26)</t>
  </si>
  <si>
    <t>DUFERCO SA</t>
    <phoneticPr fontId="2" type="noConversion"/>
  </si>
  <si>
    <t>Coils revealed to be labelled with the wording “DUFERCO SA, No., Made in Taiwan, R.O.C., etc.” at one side and on core package respectively.</t>
    <phoneticPr fontId="2" type="noConversion"/>
  </si>
  <si>
    <t>COLD ROLLED STAINLESS STEEL COILS</t>
    <phoneticPr fontId="2" type="noConversion"/>
  </si>
  <si>
    <t>Liverpool, United Kingdom</t>
    <phoneticPr fontId="2" type="noConversion"/>
  </si>
  <si>
    <t>The goods had been stored in a row x one tier high with dunnage and wooden wedges on the concrete ground in port godown No. 38 before the ship’s arrival. Neither visible corrosive nor chemical objects were uncovered in the vicinity. (Photo No. 1-3)</t>
    <phoneticPr fontId="2" type="noConversion"/>
  </si>
  <si>
    <t>QUANTITY</t>
  </si>
  <si>
    <t xml:space="preserve">The number of coils loaded into the ship’s cargo hold No. 3 was duly tallied to have the </t>
  </si>
  <si>
    <t>LOADED</t>
  </si>
  <si>
    <t>below outturn results:</t>
  </si>
  <si>
    <t>COLD ROLLED STAINLESS STEEL SHEET IN COIL NO. 2B FINISH</t>
    <phoneticPr fontId="2" type="noConversion"/>
  </si>
  <si>
    <t>Coils revealed to be labeled with the wording “--------, Myungjin, Incheon, No., Made in Taiwan, etc.” at one side and on core package respectively.</t>
    <phoneticPr fontId="2" type="noConversion"/>
  </si>
  <si>
    <t>Inchon, South Korea</t>
    <phoneticPr fontId="2" type="noConversion"/>
  </si>
  <si>
    <t>Myungjin Stainless Steel, Seoul 152-70 South Korea</t>
    <phoneticPr fontId="2" type="noConversion"/>
  </si>
  <si>
    <t>Esang Networks Co., Ltd., Seoul, South Korea</t>
    <phoneticPr fontId="2" type="noConversion"/>
  </si>
  <si>
    <t>Inchon Port, South Korea</t>
    <phoneticPr fontId="2" type="noConversion"/>
  </si>
  <si>
    <t>Coils revealed to be labeled with the wording “--------, Esang, Incheon, No., Made in Taiwan, etc.” at one side and on core package respectively.</t>
    <phoneticPr fontId="2" type="noConversion"/>
  </si>
  <si>
    <t>D and S Global Limited, Kaohsiung</t>
    <phoneticPr fontId="2" type="noConversion"/>
  </si>
  <si>
    <t>COLD ROLLED STAINLESS STEEL IN COILS</t>
    <phoneticPr fontId="2" type="noConversion"/>
  </si>
  <si>
    <t>Coils revealed to be labeled with the wording “--------, Incheon, Korea, Coil No., Made in Taiwan, etc.” at one side and on core package respectively.</t>
    <phoneticPr fontId="2" type="noConversion"/>
  </si>
  <si>
    <t>Incheon Port in South Korea</t>
    <phoneticPr fontId="2" type="noConversion"/>
  </si>
  <si>
    <t>HOT/COLD ROLLED STAINLESS STEEL SHEET IN COIL NO. 1/NO. 2B FINISH</t>
    <phoneticPr fontId="2" type="noConversion"/>
  </si>
  <si>
    <t>Jeil Steel Co., Ltd., Gyeonggi-Do, South Korea</t>
    <phoneticPr fontId="2" type="noConversion"/>
  </si>
  <si>
    <t>Coils revealed to be labeled with the wording “--------, Jeil Steel, Incheon, Coil No./ Size., Net Weight, Gross Weight, Made in Taiwan, etc.” at one side and on core package respectively.</t>
    <phoneticPr fontId="2" type="noConversion"/>
  </si>
  <si>
    <t>COLD ROLLED STAINLESS STEEL SHEET IN COIL NO.2B FINISH</t>
    <phoneticPr fontId="2" type="noConversion"/>
  </si>
  <si>
    <t>Coils revealed to be labelled with the wording “YUSCO, Order Reference No., Net Weight, Gross Weight, Made in Taiwan, etc.” at one side and on core package respectively.</t>
    <phoneticPr fontId="2" type="noConversion"/>
  </si>
  <si>
    <t>HOT ROLLED STAINLESS STEEL SHEET IN COIL NO.1 FINISH</t>
    <phoneticPr fontId="2" type="noConversion"/>
  </si>
  <si>
    <t>Marghera, Italy</t>
    <phoneticPr fontId="2" type="noConversion"/>
  </si>
  <si>
    <t>Coils revealed to be labelled with the wording “Job Order, Net Weight, Gross Weight, Made in Taiwan, etc.” at one side and on core package respectively.</t>
    <phoneticPr fontId="2" type="noConversion"/>
  </si>
  <si>
    <t>DK Corporation, Yeongdeungpo-Gu, South Korea</t>
    <phoneticPr fontId="2" type="noConversion"/>
  </si>
  <si>
    <t>Incheon, South Korea</t>
    <phoneticPr fontId="2" type="noConversion"/>
  </si>
  <si>
    <t>Coils revealed to be labeled with the wording “--------, DK Corporatioh, Incheon, No., Made in Taiwan, etc.” at one side and on core package respectively.</t>
    <phoneticPr fontId="2" type="noConversion"/>
  </si>
  <si>
    <t>Fivetec Enterprise Co., Ltd.</t>
    <phoneticPr fontId="2" type="noConversion"/>
  </si>
  <si>
    <t>Bangkok, Thailand</t>
    <phoneticPr fontId="2" type="noConversion"/>
  </si>
  <si>
    <t>COLD ROLLED STAINLESS STEEL SHEET IN COIL</t>
    <phoneticPr fontId="2" type="noConversion"/>
  </si>
  <si>
    <t>Coils revealed to be labeled with the wording “---------, Junglee, Bangkok, No., Made in Taiwan, etc.” at the exterior surface each.</t>
    <phoneticPr fontId="2" type="noConversion"/>
  </si>
  <si>
    <t>Key Bridge Co., Ltd., Kaohsiung</t>
    <phoneticPr fontId="2" type="noConversion"/>
  </si>
  <si>
    <t>Port Klang, Malaysia</t>
    <phoneticPr fontId="2" type="noConversion"/>
  </si>
  <si>
    <t>Coils revealed to be labeled with the wording “---------, STLS, Port Klang, No., Made in Taiwan, etc.” at the exterior surface each.</t>
    <phoneticPr fontId="2" type="noConversion"/>
  </si>
  <si>
    <t>Cheongfuli (Hong Kong) Company</t>
    <phoneticPr fontId="2" type="noConversion"/>
  </si>
  <si>
    <t>HOT / COLD ROLLED STAINLESS STEEL SHEET IN COIL 304 NO. 1/NO. 2B/BA FINISH</t>
    <phoneticPr fontId="2" type="noConversion"/>
  </si>
  <si>
    <t>Hwangkum Steel and Technology, Gyeonggi-Do, Korea</t>
    <phoneticPr fontId="2" type="noConversion"/>
  </si>
  <si>
    <t>Coils revealed to be labeled with the wording “--------, Hwang-Kum, Incheon, No., Made in Taiwan, etc.” at one side and on core package respectively.</t>
    <phoneticPr fontId="2" type="noConversion"/>
  </si>
  <si>
    <t>Asia Pacific</t>
    <phoneticPr fontId="2" type="noConversion"/>
  </si>
  <si>
    <t>Kao Feng</t>
    <phoneticPr fontId="2" type="noConversion"/>
  </si>
  <si>
    <t>Ming-Yu</t>
    <phoneticPr fontId="2" type="noConversion"/>
  </si>
  <si>
    <t>Kao Ten Jin</t>
    <phoneticPr fontId="2" type="noConversion"/>
  </si>
  <si>
    <t>HOT/COLD ROLLED STAINLESS STEEL SHEET NO. 1/2B FINISH</t>
    <phoneticPr fontId="2" type="noConversion"/>
  </si>
  <si>
    <t>HOT / COLD ROLLED STAINLESS STEEL SHEET IN COIL</t>
    <phoneticPr fontId="2" type="noConversion"/>
  </si>
  <si>
    <t>KTT Steel Industries Sdn Bhd., 93050 Kuching, Sarawak, Malaysia</t>
    <phoneticPr fontId="2" type="noConversion"/>
  </si>
  <si>
    <t>Kuching Port, Sarawak, Malaysia</t>
    <phoneticPr fontId="2" type="noConversion"/>
  </si>
  <si>
    <t>Bundles revealed to be labeled with the wording “-------, KTT, Kuching, No., Made in Taiwan, etc.” at the exterior surface each.</t>
    <phoneticPr fontId="2" type="noConversion"/>
  </si>
  <si>
    <t>STAINLESS STEEL SLAB</t>
    <phoneticPr fontId="2" type="noConversion"/>
  </si>
  <si>
    <t>STAINLESS STEEL IN COIL, AISI 304 2B FINISH</t>
  </si>
  <si>
    <t>HOT ROLLED STAINLESS STEEL SHEET IN COIL NO. 1 FINISH</t>
  </si>
  <si>
    <t>HOT ROLLED STAINLESS STEEL COILS</t>
    <phoneticPr fontId="2" type="noConversion"/>
  </si>
  <si>
    <t>Coils revealed to be labeled with the wording “--------, Duferco SA, No., Made in Taiwan, R.O.C., etc.” at one side and on core package respectively.</t>
    <phoneticPr fontId="2" type="noConversion"/>
  </si>
  <si>
    <t>Osaka, Japan</t>
    <phoneticPr fontId="2" type="noConversion"/>
  </si>
  <si>
    <t>Shinko Bussan Co., Ltd</t>
    <phoneticPr fontId="2" type="noConversion"/>
  </si>
  <si>
    <t>Coils revealed to be labeled with the wording “--------, Shinko, Osaka, No., Made in Taiwan, etc.” at one side and on core package respectively.</t>
    <phoneticPr fontId="2" type="noConversion"/>
  </si>
  <si>
    <t>Y-Entex Co., Ltd.</t>
    <phoneticPr fontId="2" type="noConversion"/>
  </si>
  <si>
    <t>COLD ROLLED STAINLESS STEEL SHEET IN COIL 2B FINISH</t>
    <phoneticPr fontId="2" type="noConversion"/>
  </si>
  <si>
    <t>Coils revealed to be labeled with the wording “--------, Y-Entex, Osaka, No., Made in Taiwan, etc.” at one side and on core package respectively.</t>
    <phoneticPr fontId="2" type="noConversion"/>
  </si>
  <si>
    <t>Coils revealed to be labeled with the wording “--------, Grade, Size, N.W., G.W., MIK No., Made in Taiwan, etc.” at one side and on core package respectively.</t>
    <phoneticPr fontId="2" type="noConversion"/>
  </si>
  <si>
    <t>Iwatani Corporation</t>
    <phoneticPr fontId="2" type="noConversion"/>
  </si>
  <si>
    <t>HOT/COLD ROLLED STAINLESS STEEL SHEET IN COIL NO.1/2B FINISH</t>
    <phoneticPr fontId="2" type="noConversion"/>
  </si>
  <si>
    <t>Coils revealed to be labeled with the wording “--------, IC No./ IB No., Osaka, No., Made in Taiwan, Net, Gross, etc.” at one side and on core package respectively.</t>
    <phoneticPr fontId="2" type="noConversion"/>
  </si>
  <si>
    <t>COLD ROLLED STAINLESS STEEL SHEET IN COILS</t>
    <phoneticPr fontId="2" type="noConversion"/>
  </si>
  <si>
    <t>Pyeongtaek Port in South Korea</t>
    <phoneticPr fontId="2" type="noConversion"/>
  </si>
  <si>
    <t>Coils revealed to be labeled with the wording “--------, Pyeongtaek, Korea, Coil No., Made in Taiwan, etc.” at one side and on core package respectively.</t>
    <phoneticPr fontId="2" type="noConversion"/>
  </si>
  <si>
    <t>Nagoya, Japan</t>
    <phoneticPr fontId="2" type="noConversion"/>
  </si>
  <si>
    <t>Coils revealed to be labeled with the wording “--------, IC No. / IB No., Nagoya, No., Made in Taiwan, Net, Gross, etc.” at one side and on core package respectively.</t>
    <phoneticPr fontId="2" type="noConversion"/>
  </si>
  <si>
    <t>COLD/HOT ROLLED STAINLESS STEEL SHEET IN COIL</t>
    <phoneticPr fontId="2" type="noConversion"/>
  </si>
  <si>
    <t>Coils revealed to be labeled with the wording “--------, Shinko, Nagoya, No., Made in Taiwan, etc.” at one side and on core package respectively.</t>
    <phoneticPr fontId="2" type="noConversion"/>
  </si>
  <si>
    <t>Taiwan Marubeni-Itochu Steel, Taipei</t>
    <phoneticPr fontId="2" type="noConversion"/>
  </si>
  <si>
    <t>COLD ROLLED STAINLESS STEEL SHEET IN COIL JIS G4305, SUS304 2B FINISH</t>
    <phoneticPr fontId="2" type="noConversion"/>
  </si>
  <si>
    <t>Chiba, Japan</t>
    <phoneticPr fontId="2" type="noConversion"/>
  </si>
  <si>
    <t>Coils revealed to be labeled with the wording “---------, Grade, Size, N.W., G.W., MIK No., Made in Taiwan, etc.” at the exterior surface each.</t>
    <phoneticPr fontId="2" type="noConversion"/>
  </si>
  <si>
    <t>on one outer protection steel ring</t>
    <phoneticPr fontId="99" type="noConversion"/>
  </si>
  <si>
    <t>殼</t>
    <phoneticPr fontId="99" type="noConversion"/>
  </si>
  <si>
    <t>on one inner protection steel ring</t>
    <phoneticPr fontId="99" type="noConversion"/>
  </si>
  <si>
    <t xml:space="preserve">GOODS
</t>
    <phoneticPr fontId="2" type="noConversion"/>
  </si>
  <si>
    <r>
      <rPr>
        <sz val="11"/>
        <rFont val="細明體"/>
        <family val="2"/>
        <charset val="136"/>
      </rPr>
      <t>檢查完成日</t>
    </r>
    <phoneticPr fontId="2" type="noConversion"/>
  </si>
  <si>
    <t>Lsi Lamiere Speciali Inox SPA, 43122 Parma Italy</t>
    <phoneticPr fontId="2" type="noConversion"/>
  </si>
  <si>
    <t>HOT ROLLED STAINLESS STEEL SHEET IN COILS, NO. 1 FINISH</t>
    <phoneticPr fontId="2" type="noConversion"/>
  </si>
  <si>
    <t>Ravenna Port, Italy</t>
    <phoneticPr fontId="2" type="noConversion"/>
  </si>
  <si>
    <t>Coils revealed to be labeled with the wording “--------, Lsi Lamiere Speciali, Ravenna Port, Italy, No., Made in Taiwan, etc.” at one side and on core package respectively.</t>
    <phoneticPr fontId="2" type="noConversion"/>
  </si>
  <si>
    <t>Marcegaglia Specialties SPA, Italy</t>
    <phoneticPr fontId="2" type="noConversion"/>
  </si>
  <si>
    <t>Coils revealed to be labeled with the wording “--------, YUSCO, Ravenna Italy, Marcegaglia, No., Made in Taiwan (R.O.C.), etc.” at one side and on core package respectively.</t>
    <phoneticPr fontId="2" type="noConversion"/>
  </si>
  <si>
    <t>HOT/COLD ROLLED STAINLESS STEEL SHEET IN COIL NO.1/2B/BA FINISH</t>
    <phoneticPr fontId="2" type="noConversion"/>
  </si>
  <si>
    <t>Marghera port, Italy</t>
    <phoneticPr fontId="2" type="noConversion"/>
  </si>
  <si>
    <t>Coils revealed to be labelled with the wording “--------, Job Order:, Net Weight, Gross Weight, Made in Taiwan, etc.” at one side and on core package respectively.</t>
    <phoneticPr fontId="2" type="noConversion"/>
  </si>
  <si>
    <t>Kentzu Steel Sdn Bhd., 55200 Kuala Lumpur Malaysia</t>
    <phoneticPr fontId="2" type="noConversion"/>
  </si>
  <si>
    <t>Cold Rolled Stainless Steel Sheets in Cut Length No. 8/BA Finish</t>
    <phoneticPr fontId="2" type="noConversion"/>
  </si>
  <si>
    <t>Bundles revealed to be labeled with the wording “------, Kentzu, Port Klang, No., Made in Taiwan, etc.” on the exterior.</t>
    <phoneticPr fontId="2" type="noConversion"/>
  </si>
  <si>
    <t>C.P.C. Inox Spa</t>
    <phoneticPr fontId="2" type="noConversion"/>
  </si>
  <si>
    <t>Ravenna port, Italy</t>
    <phoneticPr fontId="2" type="noConversion"/>
  </si>
  <si>
    <t>STAINLESS STEEL HOT ROLLED COILS, DIN EN 10088-4 1.4301/1.4307, NO.1 FINISH MILL EDGE</t>
    <phoneticPr fontId="2" type="noConversion"/>
  </si>
  <si>
    <t>Coils revealed to be labelled with the wording “--------, C.P.C. Inox Spa, Ravenna, Italy, CPC No., No., Made in Taiwan, etc.” at one side and on core package respectively.</t>
    <phoneticPr fontId="2" type="noConversion"/>
  </si>
  <si>
    <t>Nova Metale SP. Z.O.O., 87-148 Lysomice PL</t>
    <phoneticPr fontId="2" type="noConversion"/>
  </si>
  <si>
    <t>Gdynia Port, Poland</t>
    <phoneticPr fontId="2" type="noConversion"/>
  </si>
  <si>
    <t>Coils revealed to be labeled with the wording “---------, Nova Metale, Gdynia, No., Made in Taiwan, R.O.C., etc.” at the exterior surface each.</t>
    <phoneticPr fontId="2" type="noConversion"/>
  </si>
  <si>
    <t>China Steel Global Trading Corp., Kaohsiung</t>
    <phoneticPr fontId="2" type="noConversion"/>
  </si>
  <si>
    <t>Hong Kong</t>
    <phoneticPr fontId="2" type="noConversion"/>
  </si>
  <si>
    <t>Coils revealed to be labeled with the wording “---------, CSGT, No., Coil No., Made in Taiwan, etc.” at the exterior surface each.</t>
    <phoneticPr fontId="2" type="noConversion"/>
  </si>
  <si>
    <t>Minox Metal Private Limited, Bangalore 560002 India</t>
    <phoneticPr fontId="2" type="noConversion"/>
  </si>
  <si>
    <t>ICD Bangalore, India</t>
    <phoneticPr fontId="2" type="noConversion"/>
  </si>
  <si>
    <t>Coils revealed to be labeled with the wording “---------, Minox, Bangalore, No., Made in Taiwan, etc.” at the exterior surface each.</t>
    <phoneticPr fontId="2" type="noConversion"/>
  </si>
  <si>
    <t>Coils revealed to be labeled with the wording "---------, Bayar, Ambarli, No., Made in Taiwan, etc." on surface.</t>
    <phoneticPr fontId="2" type="noConversion"/>
  </si>
  <si>
    <t>Baltimore, United States</t>
    <phoneticPr fontId="2" type="noConversion"/>
  </si>
  <si>
    <t>Coils revealed to be labeled with the wording “------, Yieh Corp Ltd., SUU No., No., Baltimore, Made in Taiwan, No., etc.” on the exterior.</t>
    <phoneticPr fontId="2" type="noConversion"/>
  </si>
  <si>
    <t>STAINLESS STEEL COLD ROLLED SHEETS</t>
    <phoneticPr fontId="2" type="noConversion"/>
  </si>
  <si>
    <t>HOT/COLD ROLLED STAINLESS STEEL SHEET IN COIL</t>
    <phoneticPr fontId="2" type="noConversion"/>
  </si>
  <si>
    <t>UST Co., Ltd., Gyeongsangbuk-Do, Korea</t>
    <phoneticPr fontId="2" type="noConversion"/>
  </si>
  <si>
    <t>HOT ROLLED STAINLESS STEEL SHEET IN COIL NO. 1 FINISH</t>
    <phoneticPr fontId="2" type="noConversion"/>
  </si>
  <si>
    <t>Busan, Korea</t>
    <phoneticPr fontId="2" type="noConversion"/>
  </si>
  <si>
    <t>Coils revealed to be labeled with the wording “--------, UST Co., Ltd., Busan, No., Made in Taiwan, etc.” at the exterior surface each.</t>
    <phoneticPr fontId="2" type="noConversion"/>
  </si>
  <si>
    <t>Yieh United Steel Corporation</t>
    <phoneticPr fontId="2" type="noConversion"/>
  </si>
  <si>
    <t>YU</t>
    <phoneticPr fontId="2" type="noConversion"/>
  </si>
  <si>
    <t>Yieh United Steel Corporation</t>
    <phoneticPr fontId="2" type="noConversion"/>
  </si>
  <si>
    <t>Shin Yang Steel Co., Ltd., Kaohsiung City 82544</t>
    <phoneticPr fontId="2" type="noConversion"/>
  </si>
  <si>
    <t>Shin Yang Steel Co., Ltd.</t>
    <phoneticPr fontId="2" type="noConversion"/>
  </si>
  <si>
    <t>Shin</t>
    <phoneticPr fontId="2" type="noConversion"/>
  </si>
  <si>
    <t>YP</t>
    <phoneticPr fontId="2" type="noConversion"/>
  </si>
  <si>
    <t>(是)</t>
  </si>
  <si>
    <t>鋼索</t>
  </si>
  <si>
    <t>coil</t>
    <phoneticPr fontId="2" type="noConversion"/>
  </si>
  <si>
    <t>bundle</t>
    <phoneticPr fontId="2" type="noConversion"/>
  </si>
  <si>
    <t>piece</t>
    <phoneticPr fontId="2" type="noConversion"/>
  </si>
  <si>
    <t>LOCATION</t>
    <phoneticPr fontId="61" type="noConversion"/>
  </si>
  <si>
    <t>Lien-Hai</t>
    <phoneticPr fontId="2" type="noConversion"/>
  </si>
  <si>
    <t>Coils revealed to be labeled with the wording “---------, Order No., Quality:, Finish:, Size: / No.W.:/ G.W.:/Heat No.:, No., Made in Taiwan, etc.” at the exterior surface each.</t>
    <phoneticPr fontId="2" type="noConversion"/>
  </si>
  <si>
    <t>YU</t>
    <phoneticPr fontId="2" type="noConversion"/>
  </si>
  <si>
    <t>C</t>
    <phoneticPr fontId="2" type="noConversion"/>
  </si>
  <si>
    <t>C.P.C. Inox Spa</t>
  </si>
  <si>
    <t>C.p.c.</t>
    <phoneticPr fontId="2" type="noConversion"/>
  </si>
  <si>
    <t>moisture-resistance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</si>
</sst>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1" formatCode="_-* #,##0_-;\-* #,##0_-;_-* &quot;-&quot;_-;_-@_-"/>
    <numFmt numFmtId="43" formatCode="_-* #,##0.00_-;\-* #,##0.00_-;_-* &quot;-&quot;??_-;_-@_-"/>
    <numFmt numFmtId="176" formatCode="#,##0.000_ "/>
    <numFmt numFmtId="177" formatCode="0.000"/>
    <numFmt numFmtId="178" formatCode="0000"/>
    <numFmt numFmtId="179" formatCode="#\ &quot;coils&quot;"/>
    <numFmt numFmtId="180" formatCode="mmmm\ dd\,\ yyyy"/>
    <numFmt numFmtId="181" formatCode="_-* #,##0.000_-;\-* #,##0.000_-;_-* &quot;-&quot;??_-;_-@_-"/>
  </numFmts>
  <fonts count="108">
    <font>
      <sz val="12"/>
      <name val="新細明體"/>
      <family val="1"/>
      <charset val="136"/>
    </font>
    <font>
      <sz val="12"/>
      <name val="新細明體"/>
      <family val="1"/>
      <charset val="136"/>
    </font>
    <font>
      <sz val="9"/>
      <name val="新細明體"/>
      <family val="1"/>
      <charset val="136"/>
    </font>
    <font>
      <sz val="12"/>
      <name val="Times New Roman"/>
      <family val="1"/>
    </font>
    <font>
      <sz val="9"/>
      <name val="細明體"/>
      <family val="3"/>
      <charset val="136"/>
    </font>
    <font>
      <u/>
      <sz val="12"/>
      <color indexed="12"/>
      <name val="新細明體"/>
      <family val="1"/>
      <charset val="136"/>
    </font>
    <font>
      <u/>
      <sz val="12"/>
      <color indexed="36"/>
      <name val="新細明體"/>
      <family val="1"/>
      <charset val="136"/>
    </font>
    <font>
      <sz val="12"/>
      <name val="Arial"/>
      <family val="2"/>
    </font>
    <font>
      <b/>
      <sz val="10"/>
      <name val="Arial"/>
      <family val="2"/>
    </font>
    <font>
      <b/>
      <sz val="13"/>
      <name val="Arial"/>
      <family val="2"/>
    </font>
    <font>
      <sz val="8"/>
      <name val="Arial"/>
      <family val="2"/>
    </font>
    <font>
      <sz val="10"/>
      <name val="Arial"/>
      <family val="2"/>
    </font>
    <font>
      <i/>
      <sz val="10"/>
      <name val="Arial"/>
      <family val="2"/>
    </font>
    <font>
      <b/>
      <i/>
      <sz val="10"/>
      <name val="Arial"/>
      <family val="2"/>
    </font>
    <font>
      <u/>
      <sz val="10"/>
      <name val="Arial"/>
      <family val="2"/>
    </font>
    <font>
      <sz val="14"/>
      <name val="Arial"/>
      <family val="2"/>
    </font>
    <font>
      <sz val="10"/>
      <color indexed="12"/>
      <name val="Arial"/>
      <family val="2"/>
    </font>
    <font>
      <sz val="11"/>
      <name val="明朝"/>
      <family val="1"/>
      <charset val="136"/>
    </font>
    <font>
      <sz val="10"/>
      <color indexed="8"/>
      <name val="Arial"/>
      <family val="2"/>
    </font>
    <font>
      <sz val="12"/>
      <name val="新細明體"/>
      <family val="1"/>
      <charset val="136"/>
    </font>
    <font>
      <b/>
      <sz val="10"/>
      <color indexed="10"/>
      <name val="Arial"/>
      <family val="2"/>
    </font>
    <font>
      <sz val="12"/>
      <color indexed="17"/>
      <name val="新細明體"/>
      <family val="1"/>
      <charset val="136"/>
    </font>
    <font>
      <sz val="12"/>
      <color indexed="20"/>
      <name val="新細明體"/>
      <family val="1"/>
      <charset val="136"/>
    </font>
    <font>
      <sz val="11"/>
      <color indexed="39"/>
      <name val="Times New Roman"/>
      <family val="1"/>
    </font>
    <font>
      <b/>
      <sz val="10"/>
      <color rgb="FFFF0000"/>
      <name val="Arial"/>
      <family val="2"/>
    </font>
    <font>
      <b/>
      <sz val="10"/>
      <color rgb="FFFF0000"/>
      <name val="新細明體"/>
      <family val="1"/>
      <charset val="136"/>
    </font>
    <font>
      <b/>
      <sz val="10"/>
      <color rgb="FF0000CC"/>
      <name val="Arial"/>
      <family val="2"/>
    </font>
    <font>
      <b/>
      <sz val="10"/>
      <color rgb="FFFF6600"/>
      <name val="Arial"/>
      <family val="2"/>
    </font>
    <font>
      <b/>
      <sz val="10"/>
      <color rgb="FFFF6600"/>
      <name val="新細明體"/>
      <family val="1"/>
      <charset val="136"/>
    </font>
    <font>
      <sz val="10"/>
      <color rgb="FF0000CC"/>
      <name val="Arial"/>
      <family val="2"/>
    </font>
    <font>
      <sz val="11"/>
      <color indexed="8"/>
      <name val="新細明體"/>
      <family val="1"/>
      <charset val="136"/>
    </font>
    <font>
      <sz val="12"/>
      <color indexed="8"/>
      <name val="新細明體"/>
      <family val="1"/>
      <charset val="136"/>
    </font>
    <font>
      <sz val="11"/>
      <color indexed="9"/>
      <name val="新細明體"/>
      <family val="1"/>
      <charset val="136"/>
    </font>
    <font>
      <sz val="12"/>
      <color indexed="9"/>
      <name val="新細明體"/>
      <family val="1"/>
      <charset val="136"/>
    </font>
    <font>
      <sz val="11"/>
      <color indexed="20"/>
      <name val="新細明體"/>
      <family val="1"/>
      <charset val="136"/>
    </font>
    <font>
      <b/>
      <sz val="11"/>
      <color indexed="52"/>
      <name val="新細明體"/>
      <family val="1"/>
      <charset val="136"/>
    </font>
    <font>
      <b/>
      <sz val="11"/>
      <color indexed="9"/>
      <name val="新細明體"/>
      <family val="1"/>
      <charset val="136"/>
    </font>
    <font>
      <i/>
      <sz val="11"/>
      <color indexed="23"/>
      <name val="新細明體"/>
      <family val="1"/>
      <charset val="136"/>
    </font>
    <font>
      <sz val="11"/>
      <color indexed="17"/>
      <name val="新細明體"/>
      <family val="1"/>
      <charset val="136"/>
    </font>
    <font>
      <b/>
      <sz val="15"/>
      <color indexed="56"/>
      <name val="新細明體"/>
      <family val="1"/>
      <charset val="136"/>
    </font>
    <font>
      <b/>
      <sz val="13"/>
      <color indexed="56"/>
      <name val="新細明體"/>
      <family val="1"/>
      <charset val="136"/>
    </font>
    <font>
      <b/>
      <sz val="11"/>
      <color indexed="56"/>
      <name val="新細明體"/>
      <family val="1"/>
      <charset val="136"/>
    </font>
    <font>
      <sz val="11"/>
      <color indexed="62"/>
      <name val="新細明體"/>
      <family val="1"/>
      <charset val="136"/>
    </font>
    <font>
      <sz val="11"/>
      <color indexed="52"/>
      <name val="新細明體"/>
      <family val="1"/>
      <charset val="136"/>
    </font>
    <font>
      <sz val="11"/>
      <color indexed="60"/>
      <name val="新細明體"/>
      <family val="1"/>
      <charset val="136"/>
    </font>
    <font>
      <b/>
      <sz val="11"/>
      <color indexed="63"/>
      <name val="新細明體"/>
      <family val="1"/>
      <charset val="136"/>
    </font>
    <font>
      <b/>
      <sz val="18"/>
      <color indexed="56"/>
      <name val="新細明體"/>
      <family val="1"/>
      <charset val="136"/>
    </font>
    <font>
      <b/>
      <sz val="11"/>
      <color indexed="8"/>
      <name val="新細明體"/>
      <family val="1"/>
      <charset val="136"/>
    </font>
    <font>
      <sz val="11"/>
      <color indexed="10"/>
      <name val="新細明體"/>
      <family val="1"/>
      <charset val="136"/>
    </font>
    <font>
      <b/>
      <sz val="12"/>
      <color indexed="8"/>
      <name val="新細明體"/>
      <family val="1"/>
      <charset val="136"/>
    </font>
    <font>
      <sz val="12"/>
      <color indexed="60"/>
      <name val="新細明體"/>
      <family val="1"/>
      <charset val="136"/>
    </font>
    <font>
      <i/>
      <sz val="12"/>
      <color indexed="23"/>
      <name val="新細明體"/>
      <family val="1"/>
      <charset val="136"/>
    </font>
    <font>
      <sz val="12"/>
      <color indexed="62"/>
      <name val="新細明體"/>
      <family val="1"/>
      <charset val="136"/>
    </font>
    <font>
      <b/>
      <sz val="12"/>
      <color indexed="63"/>
      <name val="新細明體"/>
      <family val="1"/>
      <charset val="136"/>
    </font>
    <font>
      <b/>
      <sz val="12"/>
      <color indexed="9"/>
      <name val="新細明體"/>
      <family val="1"/>
      <charset val="136"/>
    </font>
    <font>
      <sz val="12"/>
      <color indexed="10"/>
      <name val="新細明體"/>
      <family val="1"/>
      <charset val="136"/>
    </font>
    <font>
      <b/>
      <sz val="12"/>
      <color indexed="52"/>
      <name val="新細明體"/>
      <family val="1"/>
      <charset val="136"/>
    </font>
    <font>
      <sz val="12"/>
      <color indexed="52"/>
      <name val="新細明體"/>
      <family val="1"/>
      <charset val="136"/>
    </font>
    <font>
      <sz val="11"/>
      <color theme="1"/>
      <name val="新細明體"/>
      <family val="2"/>
      <scheme val="minor"/>
    </font>
    <font>
      <sz val="12"/>
      <color indexed="19"/>
      <name val="新細明體"/>
      <family val="1"/>
      <charset val="136"/>
    </font>
    <font>
      <u/>
      <sz val="10.8"/>
      <color indexed="12"/>
      <name val="新細明體"/>
      <family val="1"/>
      <charset val="136"/>
    </font>
    <font>
      <sz val="9"/>
      <name val="新細明體"/>
      <family val="3"/>
      <charset val="136"/>
      <scheme val="minor"/>
    </font>
    <font>
      <sz val="11"/>
      <color theme="1"/>
      <name val="Arial"/>
      <family val="2"/>
    </font>
    <font>
      <u/>
      <sz val="11"/>
      <color theme="1"/>
      <name val="Arial"/>
      <family val="2"/>
    </font>
    <font>
      <sz val="11"/>
      <color theme="1"/>
      <name val="新細明體"/>
      <family val="2"/>
      <charset val="136"/>
    </font>
    <font>
      <sz val="11"/>
      <color theme="1"/>
      <name val="細明體"/>
      <family val="2"/>
      <charset val="136"/>
    </font>
    <font>
      <u/>
      <sz val="11"/>
      <color theme="1"/>
      <name val="細明體"/>
      <family val="2"/>
      <charset val="136"/>
    </font>
    <font>
      <u/>
      <sz val="11"/>
      <color theme="1"/>
      <name val="Arial"/>
      <family val="1"/>
      <charset val="136"/>
    </font>
    <font>
      <u/>
      <sz val="11"/>
      <color theme="1"/>
      <name val="細明體"/>
      <family val="1"/>
      <charset val="136"/>
    </font>
    <font>
      <u/>
      <sz val="11"/>
      <color theme="1"/>
      <name val="Arial"/>
      <family val="3"/>
      <charset val="136"/>
    </font>
    <font>
      <sz val="11"/>
      <name val="Arial"/>
      <family val="2"/>
    </font>
    <font>
      <b/>
      <u/>
      <sz val="11"/>
      <color theme="1"/>
      <name val="Arial"/>
      <family val="2"/>
    </font>
    <font>
      <b/>
      <sz val="11"/>
      <name val="Arial"/>
      <family val="2"/>
    </font>
    <font>
      <b/>
      <u/>
      <sz val="11"/>
      <name val="Arial"/>
      <family val="2"/>
    </font>
    <font>
      <sz val="11"/>
      <color rgb="FF000000"/>
      <name val="Arial"/>
      <family val="2"/>
    </font>
    <font>
      <b/>
      <sz val="11"/>
      <color theme="1"/>
      <name val="Arial"/>
      <family val="2"/>
    </font>
    <font>
      <b/>
      <sz val="11"/>
      <color theme="1"/>
      <name val="細明體"/>
      <family val="2"/>
      <charset val="136"/>
    </font>
    <font>
      <sz val="11"/>
      <name val="新細明體"/>
      <family val="1"/>
      <charset val="136"/>
    </font>
    <font>
      <sz val="11"/>
      <name val="新細明體"/>
      <family val="2"/>
      <charset val="136"/>
    </font>
    <font>
      <sz val="11"/>
      <name val="細明體"/>
      <family val="2"/>
      <charset val="136"/>
    </font>
    <font>
      <b/>
      <u/>
      <sz val="12"/>
      <name val="Arial"/>
      <family val="2"/>
    </font>
    <font>
      <b/>
      <u/>
      <sz val="11"/>
      <color theme="1"/>
      <name val="微軟正黑體"/>
      <family val="2"/>
      <charset val="136"/>
    </font>
    <font>
      <sz val="11"/>
      <color theme="1"/>
      <name val="Arial"/>
      <family val="2"/>
      <charset val="136"/>
    </font>
    <font>
      <sz val="11"/>
      <color rgb="FFFF0000"/>
      <name val="Arial"/>
      <family val="2"/>
    </font>
    <font>
      <sz val="14"/>
      <color rgb="FFFF0000"/>
      <name val="Calibri"/>
      <family val="2"/>
    </font>
    <font>
      <u/>
      <sz val="11"/>
      <color theme="1"/>
      <name val="微軟正黑體"/>
      <family val="2"/>
      <charset val="136"/>
    </font>
    <font>
      <u/>
      <sz val="11"/>
      <color theme="1"/>
      <name val="新細明體"/>
      <family val="2"/>
      <charset val="136"/>
    </font>
    <font>
      <sz val="24"/>
      <color rgb="FF000000"/>
      <name val="新細明體"/>
      <family val="1"/>
      <charset val="136"/>
    </font>
    <font>
      <sz val="11"/>
      <color rgb="FF000000"/>
      <name val="新細明體"/>
      <family val="1"/>
      <charset val="136"/>
    </font>
    <font>
      <sz val="14"/>
      <name val="細明體"/>
      <family val="3"/>
      <charset val="136"/>
    </font>
    <font>
      <sz val="16"/>
      <name val="Times New Roman"/>
      <family val="1"/>
    </font>
    <font>
      <sz val="14"/>
      <name val="Times New Roman"/>
      <family val="1"/>
    </font>
    <font>
      <u/>
      <sz val="11"/>
      <name val="Arial"/>
      <family val="2"/>
    </font>
    <font>
      <sz val="11"/>
      <name val="Arial"/>
      <family val="2"/>
      <charset val="136"/>
    </font>
    <font>
      <u/>
      <sz val="11"/>
      <name val="Arial"/>
      <family val="1"/>
      <charset val="136"/>
    </font>
    <font>
      <u/>
      <sz val="11"/>
      <name val="Arial"/>
      <family val="3"/>
      <charset val="136"/>
    </font>
    <font>
      <u/>
      <sz val="11"/>
      <name val="細明體"/>
      <family val="2"/>
      <charset val="136"/>
    </font>
    <font>
      <u/>
      <sz val="11"/>
      <name val="細明體"/>
      <family val="1"/>
      <charset val="136"/>
    </font>
    <font>
      <sz val="11"/>
      <color theme="1"/>
      <name val="新細明體"/>
      <family val="1"/>
      <charset val="136"/>
    </font>
    <font>
      <sz val="9"/>
      <name val="新細明體"/>
      <family val="2"/>
      <charset val="136"/>
      <scheme val="minor"/>
    </font>
    <font>
      <sz val="10"/>
      <color theme="1"/>
      <name val="Arial"/>
      <family val="2"/>
    </font>
    <font>
      <sz val="6"/>
      <color theme="1"/>
      <name val="Arial"/>
      <family val="2"/>
    </font>
    <font>
      <sz val="10"/>
      <color theme="1"/>
      <name val="細明體"/>
      <family val="2"/>
      <charset val="136"/>
    </font>
    <font>
      <sz val="10"/>
      <color theme="1"/>
      <name val="細明體"/>
      <family val="3"/>
      <charset val="136"/>
    </font>
    <font>
      <b/>
      <u/>
      <sz val="11"/>
      <color theme="1"/>
      <name val="新細明體"/>
      <family val="2"/>
      <charset val="136"/>
    </font>
    <font>
      <b/>
      <u/>
      <sz val="14"/>
      <name val="Arial"/>
      <family val="2"/>
    </font>
    <font>
      <sz val="7"/>
      <name val="Arial"/>
      <family val="2"/>
    </font>
    <font>
      <sz val="11"/>
      <color rgb="FFFFFF00"/>
      <name val="Arial"/>
      <family val="2"/>
    </font>
  </fonts>
  <fills count="27">
    <fill>
      <patternFill patternType="none"/>
    </fill>
    <fill>
      <patternFill patternType="gray125"/>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9"/>
        <bgColor indexed="64"/>
      </patternFill>
    </fill>
    <fill>
      <patternFill patternType="solid">
        <fgColor theme="0"/>
        <bgColor indexed="64"/>
      </patternFill>
    </fill>
    <fill>
      <patternFill patternType="solid">
        <fgColor indexed="31"/>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rgb="FFFFFF00"/>
        <bgColor indexed="64"/>
      </patternFill>
    </fill>
  </fills>
  <borders count="65">
    <border>
      <left/>
      <right/>
      <top/>
      <bottom/>
      <diagonal/>
    </border>
    <border>
      <left/>
      <right/>
      <top/>
      <bottom style="thin">
        <color indexed="64"/>
      </bottom>
      <diagonal/>
    </border>
    <border>
      <left/>
      <right/>
      <top style="hair">
        <color indexed="64"/>
      </top>
      <bottom/>
      <diagonal/>
    </border>
    <border>
      <left/>
      <right style="hair">
        <color indexed="64"/>
      </right>
      <top style="hair">
        <color indexed="64"/>
      </top>
      <bottom/>
      <diagonal/>
    </border>
    <border>
      <left style="hair">
        <color indexed="64"/>
      </left>
      <right/>
      <top style="hair">
        <color indexed="64"/>
      </top>
      <bottom/>
      <diagonal/>
    </border>
    <border>
      <left/>
      <right/>
      <top style="hair">
        <color indexed="64"/>
      </top>
      <bottom style="hair">
        <color indexed="64"/>
      </bottom>
      <diagonal/>
    </border>
    <border>
      <left/>
      <right style="hair">
        <color indexed="64"/>
      </right>
      <top/>
      <bottom style="hair">
        <color indexed="64"/>
      </bottom>
      <diagonal/>
    </border>
    <border>
      <left/>
      <right/>
      <top/>
      <bottom style="hair">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hair">
        <color indexed="64"/>
      </left>
      <right/>
      <top/>
      <bottom style="hair">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top style="double">
        <color indexed="64"/>
      </top>
      <bottom/>
      <diagonal/>
    </border>
    <border>
      <left/>
      <right style="double">
        <color indexed="64"/>
      </right>
      <top/>
      <bottom style="hair">
        <color indexed="64"/>
      </bottom>
      <diagonal/>
    </border>
    <border>
      <left/>
      <right style="hair">
        <color indexed="64"/>
      </right>
      <top style="double">
        <color indexed="64"/>
      </top>
      <bottom/>
      <diagonal/>
    </border>
    <border>
      <left style="double">
        <color indexed="64"/>
      </left>
      <right/>
      <top style="hair">
        <color indexed="64"/>
      </top>
      <bottom/>
      <diagonal/>
    </border>
    <border>
      <left style="double">
        <color indexed="64"/>
      </left>
      <right/>
      <top style="hair">
        <color indexed="64"/>
      </top>
      <bottom style="hair">
        <color indexed="64"/>
      </bottom>
      <diagonal/>
    </border>
    <border>
      <left/>
      <right style="double">
        <color indexed="64"/>
      </right>
      <top style="hair">
        <color indexed="64"/>
      </top>
      <bottom style="hair">
        <color indexed="64"/>
      </bottom>
      <diagonal/>
    </border>
    <border>
      <left style="hair">
        <color indexed="64"/>
      </left>
      <right/>
      <top style="hair">
        <color indexed="64"/>
      </top>
      <bottom style="double">
        <color indexed="64"/>
      </bottom>
      <diagonal/>
    </border>
    <border>
      <left/>
      <right/>
      <top style="hair">
        <color indexed="64"/>
      </top>
      <bottom style="double">
        <color indexed="64"/>
      </bottom>
      <diagonal/>
    </border>
    <border>
      <left/>
      <right style="double">
        <color indexed="64"/>
      </right>
      <top style="hair">
        <color indexed="64"/>
      </top>
      <bottom style="double">
        <color indexed="64"/>
      </bottom>
      <diagonal/>
    </border>
    <border>
      <left/>
      <right style="hair">
        <color indexed="64"/>
      </right>
      <top style="hair">
        <color indexed="64"/>
      </top>
      <bottom style="double">
        <color indexed="64"/>
      </bottom>
      <diagonal/>
    </border>
    <border>
      <left style="double">
        <color indexed="64"/>
      </left>
      <right/>
      <top style="hair">
        <color indexed="64"/>
      </top>
      <bottom style="double">
        <color indexed="64"/>
      </bottom>
      <diagonal/>
    </border>
    <border>
      <left/>
      <right style="double">
        <color indexed="64"/>
      </right>
      <top style="hair">
        <color indexed="64"/>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64"/>
      </top>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diagonal/>
    </border>
    <border>
      <left style="thin">
        <color auto="1"/>
      </left>
      <right/>
      <top style="thin">
        <color auto="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style="thin">
        <color indexed="64"/>
      </right>
      <top/>
      <bottom/>
      <diagonal/>
    </border>
    <border>
      <left/>
      <right/>
      <top style="dotted">
        <color indexed="64"/>
      </top>
      <bottom style="dotted">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style="medium">
        <color indexed="64"/>
      </right>
      <top/>
      <bottom style="medium">
        <color indexed="64"/>
      </bottom>
      <diagonal/>
    </border>
  </borders>
  <cellStyleXfs count="318">
    <xf numFmtId="0" fontId="0" fillId="0" borderId="0"/>
    <xf numFmtId="0" fontId="11" fillId="0" borderId="0"/>
    <xf numFmtId="0" fontId="1" fillId="0" borderId="0"/>
    <xf numFmtId="0" fontId="1" fillId="0" borderId="0"/>
    <xf numFmtId="0" fontId="19" fillId="0" borderId="0"/>
    <xf numFmtId="0" fontId="1" fillId="0" borderId="0"/>
    <xf numFmtId="0" fontId="3" fillId="0" borderId="0"/>
    <xf numFmtId="43" fontId="1" fillId="0" borderId="0" applyFont="0" applyFill="0" applyBorder="0" applyAlignment="0" applyProtection="0"/>
    <xf numFmtId="41" fontId="1" fillId="0" borderId="0" applyFont="0" applyFill="0" applyBorder="0" applyAlignment="0" applyProtection="0"/>
    <xf numFmtId="0" fontId="3" fillId="0" borderId="0" applyFont="0" applyFill="0" applyBorder="0" applyAlignment="0" applyProtection="0"/>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9" fontId="1" fillId="0" borderId="0" applyFont="0" applyFill="0" applyBorder="0" applyAlignment="0" applyProtection="0"/>
    <xf numFmtId="0" fontId="3" fillId="0" borderId="0" applyFont="0" applyFill="0" applyBorder="0" applyAlignment="0" applyProtection="0"/>
    <xf numFmtId="0" fontId="3" fillId="0" borderId="0" applyFont="0" applyFill="0" applyBorder="0" applyProtection="0"/>
    <xf numFmtId="0" fontId="3" fillId="0" borderId="0" applyFont="0" applyFill="0" applyBorder="0" applyAlignment="0" applyProtection="0"/>
    <xf numFmtId="0" fontId="3" fillId="0" borderId="0" applyFont="0" applyFill="0" applyBorder="0" applyAlignment="0" applyProtection="0"/>
    <xf numFmtId="0" fontId="17" fillId="0" borderId="0"/>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30" fillId="8" borderId="0" applyNumberFormat="0" applyBorder="0" applyAlignment="0" applyProtection="0">
      <alignment vertical="center"/>
    </xf>
    <xf numFmtId="0" fontId="30" fillId="2" borderId="0" applyNumberFormat="0" applyBorder="0" applyAlignment="0" applyProtection="0">
      <alignment vertical="center"/>
    </xf>
    <xf numFmtId="0" fontId="30" fillId="3" borderId="0" applyNumberFormat="0" applyBorder="0" applyAlignment="0" applyProtection="0">
      <alignment vertical="center"/>
    </xf>
    <xf numFmtId="0" fontId="30" fillId="4" borderId="0" applyNumberFormat="0" applyBorder="0" applyAlignment="0" applyProtection="0">
      <alignment vertical="center"/>
    </xf>
    <xf numFmtId="0" fontId="30" fillId="5" borderId="0" applyNumberFormat="0" applyBorder="0" applyAlignment="0" applyProtection="0">
      <alignment vertical="center"/>
    </xf>
    <xf numFmtId="0" fontId="30" fillId="9" borderId="0" applyNumberFormat="0" applyBorder="0" applyAlignment="0" applyProtection="0">
      <alignment vertical="center"/>
    </xf>
    <xf numFmtId="0" fontId="31" fillId="8" borderId="0" applyNumberFormat="0" applyBorder="0" applyAlignment="0" applyProtection="0">
      <alignment vertical="center"/>
    </xf>
    <xf numFmtId="0" fontId="31" fillId="2" borderId="0" applyNumberFormat="0" applyBorder="0" applyAlignment="0" applyProtection="0">
      <alignment vertical="center"/>
    </xf>
    <xf numFmtId="0" fontId="31" fillId="3" borderId="0" applyNumberFormat="0" applyBorder="0" applyAlignment="0" applyProtection="0">
      <alignment vertical="center"/>
    </xf>
    <xf numFmtId="0" fontId="31" fillId="4" borderId="0" applyNumberFormat="0" applyBorder="0" applyAlignment="0" applyProtection="0">
      <alignment vertical="center"/>
    </xf>
    <xf numFmtId="0" fontId="31" fillId="5" borderId="0" applyNumberFormat="0" applyBorder="0" applyAlignment="0" applyProtection="0">
      <alignment vertical="center"/>
    </xf>
    <xf numFmtId="0" fontId="31" fillId="9" borderId="0" applyNumberFormat="0" applyBorder="0" applyAlignment="0" applyProtection="0">
      <alignment vertical="center"/>
    </xf>
    <xf numFmtId="0" fontId="30" fillId="10" borderId="0" applyNumberFormat="0" applyBorder="0" applyAlignment="0" applyProtection="0">
      <alignment vertical="center"/>
    </xf>
    <xf numFmtId="0" fontId="30" fillId="11" borderId="0" applyNumberFormat="0" applyBorder="0" applyAlignment="0" applyProtection="0">
      <alignment vertical="center"/>
    </xf>
    <xf numFmtId="0" fontId="30" fillId="12" borderId="0" applyNumberFormat="0" applyBorder="0" applyAlignment="0" applyProtection="0">
      <alignment vertical="center"/>
    </xf>
    <xf numFmtId="0" fontId="30" fillId="4" borderId="0" applyNumberFormat="0" applyBorder="0" applyAlignment="0" applyProtection="0">
      <alignment vertical="center"/>
    </xf>
    <xf numFmtId="0" fontId="30" fillId="10" borderId="0" applyNumberFormat="0" applyBorder="0" applyAlignment="0" applyProtection="0">
      <alignment vertical="center"/>
    </xf>
    <xf numFmtId="0" fontId="30" fillId="13" borderId="0" applyNumberFormat="0" applyBorder="0" applyAlignment="0" applyProtection="0">
      <alignment vertical="center"/>
    </xf>
    <xf numFmtId="0" fontId="31" fillId="10" borderId="0" applyNumberFormat="0" applyBorder="0" applyAlignment="0" applyProtection="0">
      <alignment vertical="center"/>
    </xf>
    <xf numFmtId="0" fontId="31" fillId="11" borderId="0" applyNumberFormat="0" applyBorder="0" applyAlignment="0" applyProtection="0">
      <alignment vertical="center"/>
    </xf>
    <xf numFmtId="0" fontId="31" fillId="12" borderId="0" applyNumberFormat="0" applyBorder="0" applyAlignment="0" applyProtection="0">
      <alignment vertical="center"/>
    </xf>
    <xf numFmtId="0" fontId="31" fillId="4" borderId="0" applyNumberFormat="0" applyBorder="0" applyAlignment="0" applyProtection="0">
      <alignment vertical="center"/>
    </xf>
    <xf numFmtId="0" fontId="31" fillId="10" borderId="0" applyNumberFormat="0" applyBorder="0" applyAlignment="0" applyProtection="0">
      <alignment vertical="center"/>
    </xf>
    <xf numFmtId="0" fontId="31" fillId="13" borderId="0" applyNumberFormat="0" applyBorder="0" applyAlignment="0" applyProtection="0">
      <alignment vertical="center"/>
    </xf>
    <xf numFmtId="0" fontId="32" fillId="14" borderId="0" applyNumberFormat="0" applyBorder="0" applyAlignment="0" applyProtection="0">
      <alignment vertical="center"/>
    </xf>
    <xf numFmtId="0" fontId="32" fillId="11" borderId="0" applyNumberFormat="0" applyBorder="0" applyAlignment="0" applyProtection="0">
      <alignment vertical="center"/>
    </xf>
    <xf numFmtId="0" fontId="32" fillId="12" borderId="0" applyNumberFormat="0" applyBorder="0" applyAlignment="0" applyProtection="0">
      <alignment vertical="center"/>
    </xf>
    <xf numFmtId="0" fontId="32" fillId="15" borderId="0" applyNumberFormat="0" applyBorder="0" applyAlignment="0" applyProtection="0">
      <alignment vertical="center"/>
    </xf>
    <xf numFmtId="0" fontId="32" fillId="16" borderId="0" applyNumberFormat="0" applyBorder="0" applyAlignment="0" applyProtection="0">
      <alignment vertical="center"/>
    </xf>
    <xf numFmtId="0" fontId="32" fillId="17" borderId="0" applyNumberFormat="0" applyBorder="0" applyAlignment="0" applyProtection="0">
      <alignment vertical="center"/>
    </xf>
    <xf numFmtId="0" fontId="33" fillId="14" borderId="0" applyNumberFormat="0" applyBorder="0" applyAlignment="0" applyProtection="0">
      <alignment vertical="center"/>
    </xf>
    <xf numFmtId="0" fontId="33" fillId="11" borderId="0" applyNumberFormat="0" applyBorder="0" applyAlignment="0" applyProtection="0">
      <alignment vertical="center"/>
    </xf>
    <xf numFmtId="0" fontId="33" fillId="12" borderId="0" applyNumberFormat="0" applyBorder="0" applyAlignment="0" applyProtection="0">
      <alignment vertical="center"/>
    </xf>
    <xf numFmtId="0" fontId="33" fillId="15" borderId="0" applyNumberFormat="0" applyBorder="0" applyAlignment="0" applyProtection="0">
      <alignment vertical="center"/>
    </xf>
    <xf numFmtId="0" fontId="33" fillId="16" borderId="0" applyNumberFormat="0" applyBorder="0" applyAlignment="0" applyProtection="0">
      <alignment vertical="center"/>
    </xf>
    <xf numFmtId="0" fontId="33" fillId="17" borderId="0" applyNumberFormat="0" applyBorder="0" applyAlignment="0" applyProtection="0">
      <alignment vertical="center"/>
    </xf>
    <xf numFmtId="0" fontId="32" fillId="18" borderId="0" applyNumberFormat="0" applyBorder="0" applyAlignment="0" applyProtection="0">
      <alignment vertical="center"/>
    </xf>
    <xf numFmtId="0" fontId="32" fillId="19" borderId="0" applyNumberFormat="0" applyBorder="0" applyAlignment="0" applyProtection="0">
      <alignment vertical="center"/>
    </xf>
    <xf numFmtId="0" fontId="32" fillId="20" borderId="0" applyNumberFormat="0" applyBorder="0" applyAlignment="0" applyProtection="0">
      <alignment vertical="center"/>
    </xf>
    <xf numFmtId="0" fontId="32" fillId="15" borderId="0" applyNumberFormat="0" applyBorder="0" applyAlignment="0" applyProtection="0">
      <alignment vertical="center"/>
    </xf>
    <xf numFmtId="0" fontId="32" fillId="16" borderId="0" applyNumberFormat="0" applyBorder="0" applyAlignment="0" applyProtection="0">
      <alignment vertical="center"/>
    </xf>
    <xf numFmtId="0" fontId="32" fillId="21" borderId="0" applyNumberFormat="0" applyBorder="0" applyAlignment="0" applyProtection="0">
      <alignment vertical="center"/>
    </xf>
    <xf numFmtId="0" fontId="34" fillId="2" borderId="0" applyNumberFormat="0" applyBorder="0" applyAlignment="0" applyProtection="0">
      <alignment vertical="center"/>
    </xf>
    <xf numFmtId="0" fontId="35" fillId="22" borderId="31" applyNumberFormat="0" applyAlignment="0" applyProtection="0">
      <alignment vertical="center"/>
    </xf>
    <xf numFmtId="0" fontId="36" fillId="23" borderId="32" applyNumberFormat="0" applyAlignment="0" applyProtection="0">
      <alignment vertical="center"/>
    </xf>
    <xf numFmtId="0" fontId="37" fillId="0" borderId="0" applyNumberFormat="0" applyFill="0" applyBorder="0" applyAlignment="0" applyProtection="0">
      <alignment vertical="center"/>
    </xf>
    <xf numFmtId="0" fontId="38" fillId="3" borderId="0" applyNumberFormat="0" applyBorder="0" applyAlignment="0" applyProtection="0">
      <alignment vertical="center"/>
    </xf>
    <xf numFmtId="0" fontId="39" fillId="0" borderId="33" applyNumberFormat="0" applyFill="0" applyAlignment="0" applyProtection="0">
      <alignment vertical="center"/>
    </xf>
    <xf numFmtId="0" fontId="40" fillId="0" borderId="34" applyNumberFormat="0" applyFill="0" applyAlignment="0" applyProtection="0">
      <alignment vertical="center"/>
    </xf>
    <xf numFmtId="0" fontId="41" fillId="0" borderId="35" applyNumberFormat="0" applyFill="0" applyAlignment="0" applyProtection="0">
      <alignment vertical="center"/>
    </xf>
    <xf numFmtId="0" fontId="41" fillId="0" borderId="0" applyNumberFormat="0" applyFill="0" applyBorder="0" applyAlignment="0" applyProtection="0">
      <alignment vertical="center"/>
    </xf>
    <xf numFmtId="0" fontId="42" fillId="9" borderId="31" applyNumberFormat="0" applyAlignment="0" applyProtection="0">
      <alignment vertical="center"/>
    </xf>
    <xf numFmtId="0" fontId="43" fillId="0" borderId="36" applyNumberFormat="0" applyFill="0" applyAlignment="0" applyProtection="0">
      <alignment vertical="center"/>
    </xf>
    <xf numFmtId="0" fontId="44" fillId="24" borderId="0" applyNumberFormat="0" applyBorder="0" applyAlignment="0" applyProtection="0">
      <alignment vertical="center"/>
    </xf>
    <xf numFmtId="0" fontId="31" fillId="25" borderId="37" applyNumberFormat="0" applyFont="0" applyAlignment="0" applyProtection="0">
      <alignment vertical="center"/>
    </xf>
    <xf numFmtId="0" fontId="45" fillId="22" borderId="38" applyNumberFormat="0" applyAlignment="0" applyProtection="0">
      <alignment vertical="center"/>
    </xf>
    <xf numFmtId="0" fontId="46" fillId="0" borderId="0" applyNumberFormat="0" applyFill="0" applyBorder="0" applyAlignment="0" applyProtection="0">
      <alignment vertical="center"/>
    </xf>
    <xf numFmtId="0" fontId="47" fillId="0" borderId="39" applyNumberFormat="0" applyFill="0" applyAlignment="0" applyProtection="0">
      <alignment vertical="center"/>
    </xf>
    <xf numFmtId="0" fontId="48" fillId="0" borderId="0" applyNumberFormat="0" applyFill="0" applyBorder="0" applyAlignment="0" applyProtection="0">
      <alignment vertical="center"/>
    </xf>
    <xf numFmtId="0" fontId="3" fillId="0" borderId="0"/>
    <xf numFmtId="0" fontId="11" fillId="0" borderId="0"/>
    <xf numFmtId="43" fontId="1" fillId="0" borderId="0" applyFont="0" applyFill="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49" fillId="3"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1" fillId="25" borderId="37" applyNumberFormat="0" applyFont="0" applyAlignment="0" applyProtection="0">
      <alignment vertical="center"/>
    </xf>
    <xf numFmtId="0" fontId="22" fillId="2" borderId="0" applyNumberFormat="0" applyBorder="0" applyAlignment="0" applyProtection="0">
      <alignment vertical="center"/>
    </xf>
    <xf numFmtId="0" fontId="50" fillId="24" borderId="0" applyNumberFormat="0" applyBorder="0" applyAlignment="0" applyProtection="0">
      <alignment vertical="center"/>
    </xf>
    <xf numFmtId="0" fontId="33" fillId="18" borderId="0" applyNumberFormat="0" applyBorder="0" applyAlignment="0" applyProtection="0">
      <alignment vertical="center"/>
    </xf>
    <xf numFmtId="0" fontId="33" fillId="19" borderId="0" applyNumberFormat="0" applyBorder="0" applyAlignment="0" applyProtection="0">
      <alignment vertical="center"/>
    </xf>
    <xf numFmtId="0" fontId="33" fillId="20" borderId="0" applyNumberFormat="0" applyBorder="0" applyAlignment="0" applyProtection="0">
      <alignment vertical="center"/>
    </xf>
    <xf numFmtId="0" fontId="33" fillId="15" borderId="0" applyNumberFormat="0" applyBorder="0" applyAlignment="0" applyProtection="0">
      <alignment vertical="center"/>
    </xf>
    <xf numFmtId="0" fontId="33" fillId="16" borderId="0" applyNumberFormat="0" applyBorder="0" applyAlignment="0" applyProtection="0">
      <alignment vertical="center"/>
    </xf>
    <xf numFmtId="0" fontId="33" fillId="21" borderId="0" applyNumberFormat="0" applyBorder="0" applyAlignment="0" applyProtection="0">
      <alignment vertical="center"/>
    </xf>
    <xf numFmtId="0" fontId="51" fillId="0" borderId="0" applyNumberFormat="0" applyFill="0" applyBorder="0" applyAlignment="0" applyProtection="0">
      <alignment vertical="center"/>
    </xf>
    <xf numFmtId="0" fontId="52" fillId="9" borderId="31" applyNumberFormat="0" applyAlignment="0" applyProtection="0">
      <alignment vertical="center"/>
    </xf>
    <xf numFmtId="0" fontId="53" fillId="22" borderId="38" applyNumberFormat="0" applyAlignment="0" applyProtection="0">
      <alignment vertical="center"/>
    </xf>
    <xf numFmtId="0" fontId="6" fillId="0" borderId="0" applyNumberFormat="0" applyFill="0" applyBorder="0" applyAlignment="0" applyProtection="0">
      <alignment vertical="top"/>
      <protection locked="0"/>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54" fillId="2"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55"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39" fillId="0" borderId="33" applyNumberFormat="0" applyFill="0" applyAlignment="0" applyProtection="0">
      <alignment vertical="center"/>
    </xf>
    <xf numFmtId="0" fontId="40" fillId="0" borderId="34" applyNumberFormat="0" applyFill="0" applyAlignment="0" applyProtection="0">
      <alignment vertical="center"/>
    </xf>
    <xf numFmtId="0" fontId="41" fillId="0" borderId="35" applyNumberFormat="0" applyFill="0" applyAlignment="0" applyProtection="0">
      <alignment vertical="center"/>
    </xf>
    <xf numFmtId="0" fontId="41" fillId="0" borderId="0" applyNumberFormat="0" applyFill="0" applyBorder="0" applyAlignment="0" applyProtection="0">
      <alignment vertical="center"/>
    </xf>
    <xf numFmtId="0" fontId="54" fillId="23" borderId="32" applyNumberFormat="0" applyAlignment="0" applyProtection="0">
      <alignment vertical="center"/>
    </xf>
    <xf numFmtId="0" fontId="49" fillId="0" borderId="39" applyNumberFormat="0" applyFill="0" applyAlignment="0" applyProtection="0">
      <alignment vertical="center"/>
    </xf>
    <xf numFmtId="0" fontId="56" fillId="22" borderId="31" applyNumberFormat="0" applyAlignment="0" applyProtection="0">
      <alignment vertical="center"/>
    </xf>
    <xf numFmtId="0" fontId="57" fillId="0" borderId="36" applyNumberFormat="0" applyFill="0" applyAlignment="0" applyProtection="0">
      <alignment vertical="center"/>
    </xf>
    <xf numFmtId="0" fontId="3" fillId="0" borderId="0" applyFont="0" applyFill="0" applyBorder="0" applyAlignment="0" applyProtection="0"/>
    <xf numFmtId="0" fontId="1" fillId="0" borderId="0">
      <alignment vertical="center"/>
    </xf>
    <xf numFmtId="0" fontId="3" fillId="0" borderId="0"/>
    <xf numFmtId="0" fontId="1" fillId="0" borderId="0">
      <alignment vertical="center"/>
    </xf>
    <xf numFmtId="0" fontId="3" fillId="0" borderId="0"/>
    <xf numFmtId="0" fontId="31" fillId="0" borderId="0">
      <alignment vertical="center"/>
    </xf>
    <xf numFmtId="0" fontId="3" fillId="0" borderId="0"/>
    <xf numFmtId="0" fontId="31" fillId="0" borderId="0">
      <alignment vertical="center"/>
    </xf>
    <xf numFmtId="0" fontId="58" fillId="0" borderId="0"/>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59"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59" fillId="5"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9" fontId="1" fillId="0" borderId="0" applyFont="0" applyFill="0" applyBorder="0" applyAlignment="0" applyProtection="0"/>
    <xf numFmtId="9" fontId="1" fillId="0" borderId="0" applyFont="0" applyFill="0" applyBorder="0" applyAlignment="0" applyProtection="0">
      <alignment vertical="center"/>
    </xf>
    <xf numFmtId="0" fontId="5" fillId="0" borderId="0" applyNumberFormat="0" applyFill="0" applyBorder="0" applyAlignment="0" applyProtection="0">
      <alignment vertical="top"/>
      <protection locked="0"/>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53"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53" fillId="4"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60" fillId="0" borderId="0" applyNumberFormat="0" applyFill="0" applyBorder="0" applyAlignment="0" applyProtection="0">
      <alignment vertical="top"/>
      <protection locked="0"/>
    </xf>
    <xf numFmtId="41" fontId="1" fillId="0" borderId="0" applyFont="0" applyFill="0" applyBorder="0" applyAlignment="0" applyProtection="0"/>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43" fontId="1" fillId="0" borderId="0" applyFont="0" applyFill="0" applyBorder="0" applyAlignment="0" applyProtection="0">
      <alignment vertical="center"/>
    </xf>
  </cellStyleXfs>
  <cellXfs count="391">
    <xf numFmtId="0" fontId="0" fillId="0" borderId="0" xfId="0"/>
    <xf numFmtId="0" fontId="18" fillId="6" borderId="0" xfId="5" applyNumberFormat="1" applyFont="1" applyFill="1" applyAlignment="1">
      <alignment horizontal="left" vertical="center"/>
    </xf>
    <xf numFmtId="0" fontId="8" fillId="6" borderId="0" xfId="4" applyNumberFormat="1" applyFont="1" applyFill="1" applyAlignment="1">
      <alignment vertical="center"/>
    </xf>
    <xf numFmtId="0" fontId="11" fillId="6" borderId="0" xfId="0" applyNumberFormat="1" applyFont="1" applyFill="1" applyAlignment="1">
      <alignment vertical="center"/>
    </xf>
    <xf numFmtId="0" fontId="11" fillId="6" borderId="0" xfId="0" applyNumberFormat="1" applyFont="1" applyFill="1" applyAlignment="1">
      <alignment horizontal="center" vertical="center"/>
    </xf>
    <xf numFmtId="0" fontId="11" fillId="6" borderId="0" xfId="0" applyNumberFormat="1" applyFont="1" applyFill="1" applyAlignment="1">
      <alignment horizontal="left" vertical="center"/>
    </xf>
    <xf numFmtId="0" fontId="11" fillId="6" borderId="0" xfId="0" applyNumberFormat="1" applyFont="1" applyFill="1" applyBorder="1" applyAlignment="1">
      <alignment vertical="center"/>
    </xf>
    <xf numFmtId="0" fontId="11" fillId="6" borderId="12" xfId="0" applyNumberFormat="1" applyFont="1" applyFill="1" applyBorder="1" applyAlignment="1">
      <alignment vertical="center"/>
    </xf>
    <xf numFmtId="0" fontId="11" fillId="6" borderId="0" xfId="5" applyNumberFormat="1" applyFont="1" applyFill="1" applyAlignment="1">
      <alignment vertical="center"/>
    </xf>
    <xf numFmtId="0" fontId="8" fillId="6" borderId="0" xfId="3" applyNumberFormat="1" applyFont="1" applyFill="1" applyBorder="1" applyAlignment="1">
      <alignment vertical="center"/>
    </xf>
    <xf numFmtId="0" fontId="8" fillId="6" borderId="0" xfId="5" applyNumberFormat="1" applyFont="1" applyFill="1" applyAlignment="1">
      <alignment vertical="center"/>
    </xf>
    <xf numFmtId="0" fontId="11" fillId="6" borderId="0" xfId="5" applyNumberFormat="1" applyFont="1" applyFill="1" applyAlignment="1">
      <alignment horizontal="right" vertical="center"/>
    </xf>
    <xf numFmtId="0" fontId="8" fillId="6" borderId="0" xfId="0" applyNumberFormat="1" applyFont="1" applyFill="1" applyAlignment="1">
      <alignment horizontal="right" vertical="center"/>
    </xf>
    <xf numFmtId="0" fontId="27" fillId="6" borderId="0" xfId="0" applyNumberFormat="1" applyFont="1" applyFill="1" applyAlignment="1">
      <alignment vertical="center"/>
    </xf>
    <xf numFmtId="0" fontId="8" fillId="6" borderId="0" xfId="6" applyNumberFormat="1" applyFont="1" applyFill="1" applyAlignment="1">
      <alignment vertical="center"/>
    </xf>
    <xf numFmtId="0" fontId="16" fillId="6" borderId="0" xfId="5" applyNumberFormat="1" applyFont="1" applyFill="1" applyBorder="1" applyAlignment="1">
      <alignment horizontal="left" vertical="center"/>
    </xf>
    <xf numFmtId="0" fontId="11" fillId="6" borderId="0" xfId="3" applyNumberFormat="1" applyFont="1" applyFill="1" applyBorder="1" applyAlignment="1">
      <alignment vertical="center"/>
    </xf>
    <xf numFmtId="0" fontId="7" fillId="6" borderId="0" xfId="6" applyNumberFormat="1" applyFont="1" applyFill="1" applyAlignment="1">
      <alignment vertical="center"/>
    </xf>
    <xf numFmtId="0" fontId="15" fillId="6" borderId="0" xfId="6" applyNumberFormat="1" applyFont="1" applyFill="1" applyAlignment="1">
      <alignment vertical="center"/>
    </xf>
    <xf numFmtId="0" fontId="15" fillId="0" borderId="0" xfId="6" applyNumberFormat="1" applyFont="1" applyAlignment="1">
      <alignment vertical="center"/>
    </xf>
    <xf numFmtId="0" fontId="9" fillId="6" borderId="0" xfId="6" applyNumberFormat="1" applyFont="1" applyFill="1" applyAlignment="1">
      <alignment vertical="center"/>
    </xf>
    <xf numFmtId="0" fontId="11" fillId="0" borderId="0" xfId="6" applyNumberFormat="1" applyFont="1" applyAlignment="1">
      <alignment vertical="center"/>
    </xf>
    <xf numFmtId="0" fontId="12" fillId="6" borderId="0" xfId="6" applyNumberFormat="1" applyFont="1" applyFill="1" applyAlignment="1">
      <alignment vertical="center"/>
    </xf>
    <xf numFmtId="0" fontId="11" fillId="6" borderId="0" xfId="6" applyNumberFormat="1" applyFont="1" applyFill="1" applyBorder="1" applyAlignment="1">
      <alignment vertical="center"/>
    </xf>
    <xf numFmtId="0" fontId="7" fillId="0" borderId="0" xfId="6" applyNumberFormat="1" applyFont="1" applyBorder="1" applyAlignment="1">
      <alignment vertical="center"/>
    </xf>
    <xf numFmtId="0" fontId="8" fillId="6" borderId="0" xfId="6" applyNumberFormat="1" applyFont="1" applyFill="1" applyBorder="1" applyAlignment="1">
      <alignment horizontal="left" vertical="center"/>
    </xf>
    <xf numFmtId="0" fontId="24" fillId="6" borderId="0" xfId="6" applyNumberFormat="1" applyFont="1" applyFill="1" applyBorder="1" applyAlignment="1">
      <alignment horizontal="left" vertical="center"/>
    </xf>
    <xf numFmtId="0" fontId="20" fillId="6" borderId="0" xfId="6" applyNumberFormat="1" applyFont="1" applyFill="1" applyBorder="1" applyAlignment="1">
      <alignment horizontal="left" vertical="center"/>
    </xf>
    <xf numFmtId="0" fontId="11" fillId="6" borderId="1" xfId="6" applyNumberFormat="1" applyFont="1" applyFill="1" applyBorder="1" applyAlignment="1">
      <alignment vertical="center"/>
    </xf>
    <xf numFmtId="0" fontId="8" fillId="6" borderId="1" xfId="3" applyNumberFormat="1" applyFont="1" applyFill="1" applyBorder="1" applyAlignment="1">
      <alignment vertical="center"/>
    </xf>
    <xf numFmtId="0" fontId="8" fillId="6" borderId="0" xfId="6" applyNumberFormat="1" applyFont="1" applyFill="1" applyAlignment="1">
      <alignment horizontal="left" vertical="center"/>
    </xf>
    <xf numFmtId="0" fontId="8" fillId="6" borderId="0" xfId="6" applyNumberFormat="1" applyFont="1" applyFill="1" applyBorder="1" applyAlignment="1">
      <alignment vertical="center"/>
    </xf>
    <xf numFmtId="0" fontId="10" fillId="6" borderId="0" xfId="5" applyNumberFormat="1" applyFont="1" applyFill="1" applyBorder="1" applyAlignment="1">
      <alignment vertical="center" shrinkToFit="1"/>
    </xf>
    <xf numFmtId="0" fontId="10" fillId="6" borderId="0" xfId="5" applyNumberFormat="1" applyFont="1" applyFill="1" applyBorder="1" applyAlignment="1">
      <alignment vertical="center"/>
    </xf>
    <xf numFmtId="0" fontId="11" fillId="6" borderId="11" xfId="0" applyNumberFormat="1" applyFont="1" applyFill="1" applyBorder="1" applyAlignment="1">
      <alignment vertical="center"/>
    </xf>
    <xf numFmtId="0" fontId="8" fillId="6" borderId="0" xfId="0" applyNumberFormat="1" applyFont="1" applyFill="1" applyBorder="1" applyAlignment="1">
      <alignment horizontal="center" vertical="center"/>
    </xf>
    <xf numFmtId="0" fontId="8" fillId="6" borderId="0" xfId="0" applyNumberFormat="1" applyFont="1" applyFill="1" applyBorder="1" applyAlignment="1">
      <alignment vertical="center"/>
    </xf>
    <xf numFmtId="0" fontId="8" fillId="6" borderId="0" xfId="8" applyNumberFormat="1" applyFont="1" applyFill="1" applyBorder="1" applyAlignment="1">
      <alignment horizontal="right" vertical="center"/>
    </xf>
    <xf numFmtId="0" fontId="8" fillId="6" borderId="0" xfId="8" quotePrefix="1" applyNumberFormat="1" applyFont="1" applyFill="1" applyBorder="1" applyAlignment="1">
      <alignment vertical="center"/>
    </xf>
    <xf numFmtId="0" fontId="11" fillId="6" borderId="0" xfId="18" applyNumberFormat="1" applyFont="1" applyFill="1" applyAlignment="1">
      <alignment vertical="center"/>
    </xf>
    <xf numFmtId="0" fontId="11" fillId="6" borderId="0" xfId="18" quotePrefix="1" applyNumberFormat="1" applyFont="1" applyFill="1" applyBorder="1" applyAlignment="1" applyProtection="1">
      <alignment horizontal="center" vertical="center"/>
      <protection locked="0"/>
    </xf>
    <xf numFmtId="0" fontId="8" fillId="6" borderId="0" xfId="8" applyNumberFormat="1" applyFont="1" applyFill="1" applyBorder="1" applyAlignment="1">
      <alignment vertical="center"/>
    </xf>
    <xf numFmtId="0" fontId="11" fillId="6" borderId="1" xfId="18" applyNumberFormat="1" applyFont="1" applyFill="1" applyBorder="1" applyAlignment="1">
      <alignment vertical="center"/>
    </xf>
    <xf numFmtId="0" fontId="11" fillId="6" borderId="1" xfId="18" quotePrefix="1" applyNumberFormat="1" applyFont="1" applyFill="1" applyBorder="1" applyAlignment="1" applyProtection="1">
      <alignment horizontal="center" vertical="center"/>
      <protection locked="0"/>
    </xf>
    <xf numFmtId="0" fontId="14" fillId="6" borderId="0" xfId="3" applyNumberFormat="1" applyFont="1" applyFill="1" applyBorder="1" applyAlignment="1">
      <alignment vertical="center"/>
    </xf>
    <xf numFmtId="0" fontId="11" fillId="6" borderId="0" xfId="18" applyNumberFormat="1" applyFont="1" applyFill="1" applyBorder="1" applyAlignment="1">
      <alignment vertical="center"/>
    </xf>
    <xf numFmtId="0" fontId="8" fillId="6" borderId="0" xfId="6" applyNumberFormat="1" applyFont="1" applyFill="1" applyAlignment="1">
      <alignment horizontal="center" vertical="center"/>
    </xf>
    <xf numFmtId="0" fontId="26" fillId="6" borderId="0" xfId="6" applyNumberFormat="1" applyFont="1" applyFill="1" applyAlignment="1">
      <alignment vertical="center"/>
    </xf>
    <xf numFmtId="0" fontId="29" fillId="6" borderId="0" xfId="6" applyNumberFormat="1" applyFont="1" applyFill="1" applyAlignment="1">
      <alignment vertical="center"/>
    </xf>
    <xf numFmtId="0" fontId="11" fillId="6" borderId="0" xfId="6" applyNumberFormat="1" applyFont="1" applyFill="1" applyAlignment="1">
      <alignment horizontal="left" vertical="center"/>
    </xf>
    <xf numFmtId="0" fontId="11" fillId="6" borderId="0" xfId="6" applyNumberFormat="1" applyFont="1" applyFill="1" applyAlignment="1">
      <alignment horizontal="right" vertical="center"/>
    </xf>
    <xf numFmtId="0" fontId="11" fillId="6" borderId="8" xfId="6" applyNumberFormat="1" applyFont="1" applyFill="1" applyBorder="1" applyAlignment="1">
      <alignment vertical="center"/>
    </xf>
    <xf numFmtId="0" fontId="11" fillId="6" borderId="9" xfId="6" applyNumberFormat="1" applyFont="1" applyFill="1" applyBorder="1" applyAlignment="1">
      <alignment vertical="center"/>
    </xf>
    <xf numFmtId="0" fontId="13" fillId="6" borderId="9" xfId="6" applyNumberFormat="1" applyFont="1" applyFill="1" applyBorder="1" applyAlignment="1">
      <alignment vertical="center"/>
    </xf>
    <xf numFmtId="0" fontId="13" fillId="6" borderId="9" xfId="9" applyNumberFormat="1" applyFont="1" applyFill="1" applyBorder="1" applyAlignment="1">
      <alignment vertical="center"/>
    </xf>
    <xf numFmtId="0" fontId="11" fillId="6" borderId="10" xfId="6" applyNumberFormat="1" applyFont="1" applyFill="1" applyBorder="1" applyAlignment="1">
      <alignment vertical="center"/>
    </xf>
    <xf numFmtId="0" fontId="11" fillId="6" borderId="11" xfId="6" applyNumberFormat="1" applyFont="1" applyFill="1" applyBorder="1" applyAlignment="1">
      <alignment vertical="center"/>
    </xf>
    <xf numFmtId="0" fontId="8" fillId="6" borderId="0" xfId="9" applyNumberFormat="1" applyFont="1" applyFill="1" applyBorder="1" applyAlignment="1">
      <alignment vertical="center"/>
    </xf>
    <xf numFmtId="0" fontId="11" fillId="6" borderId="12" xfId="6" applyNumberFormat="1" applyFont="1" applyFill="1" applyBorder="1" applyAlignment="1">
      <alignment vertical="center"/>
    </xf>
    <xf numFmtId="0" fontId="8" fillId="6" borderId="0" xfId="8" applyNumberFormat="1" applyFont="1" applyFill="1" applyBorder="1" applyAlignment="1">
      <alignment horizontal="center" vertical="center"/>
    </xf>
    <xf numFmtId="0" fontId="20" fillId="6" borderId="0" xfId="8" applyNumberFormat="1" applyFont="1" applyFill="1" applyBorder="1" applyAlignment="1">
      <alignment vertical="center"/>
    </xf>
    <xf numFmtId="0" fontId="11" fillId="6" borderId="13" xfId="6" applyNumberFormat="1" applyFont="1" applyFill="1" applyBorder="1" applyAlignment="1">
      <alignment vertical="center"/>
    </xf>
    <xf numFmtId="0" fontId="11" fillId="6" borderId="14" xfId="6" applyNumberFormat="1" applyFont="1" applyFill="1" applyBorder="1" applyAlignment="1">
      <alignment vertical="center"/>
    </xf>
    <xf numFmtId="0" fontId="12" fillId="6" borderId="14" xfId="6" applyNumberFormat="1" applyFont="1" applyFill="1" applyBorder="1" applyAlignment="1">
      <alignment vertical="center"/>
    </xf>
    <xf numFmtId="0" fontId="11" fillId="6" borderId="15" xfId="6" applyNumberFormat="1" applyFont="1" applyFill="1" applyBorder="1" applyAlignment="1">
      <alignment vertical="center"/>
    </xf>
    <xf numFmtId="0" fontId="12" fillId="6" borderId="0" xfId="6" applyNumberFormat="1" applyFont="1" applyFill="1" applyBorder="1" applyAlignment="1">
      <alignment vertical="center"/>
    </xf>
    <xf numFmtId="0" fontId="11" fillId="6" borderId="0" xfId="3" applyNumberFormat="1" applyFont="1" applyFill="1" applyBorder="1" applyAlignment="1">
      <alignment horizontal="left" vertical="center"/>
    </xf>
    <xf numFmtId="0" fontId="13" fillId="6" borderId="0" xfId="6" applyNumberFormat="1" applyFont="1" applyFill="1" applyAlignment="1">
      <alignment vertical="center"/>
    </xf>
    <xf numFmtId="0" fontId="8" fillId="6" borderId="0" xfId="0" applyNumberFormat="1" applyFont="1" applyFill="1" applyBorder="1" applyAlignment="1">
      <alignment horizontal="left" vertical="center"/>
    </xf>
    <xf numFmtId="0" fontId="11" fillId="6" borderId="0" xfId="6" applyNumberFormat="1" applyFont="1" applyFill="1" applyAlignment="1">
      <alignment horizontal="center" vertical="center"/>
    </xf>
    <xf numFmtId="0" fontId="11" fillId="6" borderId="0" xfId="6" applyNumberFormat="1" applyFont="1" applyFill="1" applyAlignment="1">
      <alignment vertical="center"/>
    </xf>
    <xf numFmtId="0" fontId="8" fillId="6" borderId="0" xfId="5" applyNumberFormat="1" applyFont="1" applyFill="1" applyBorder="1" applyAlignment="1">
      <alignment horizontal="center" vertical="center"/>
    </xf>
    <xf numFmtId="0" fontId="11" fillId="6" borderId="0" xfId="5" applyNumberFormat="1" applyFont="1" applyFill="1" applyBorder="1" applyAlignment="1">
      <alignment vertical="center" shrinkToFit="1"/>
    </xf>
    <xf numFmtId="0" fontId="62" fillId="7" borderId="0" xfId="161" applyFont="1" applyFill="1"/>
    <xf numFmtId="0" fontId="63" fillId="7" borderId="0" xfId="161" applyFont="1" applyFill="1"/>
    <xf numFmtId="0" fontId="63" fillId="7" borderId="0" xfId="161" applyFont="1" applyFill="1" applyAlignment="1">
      <alignment horizontal="center"/>
    </xf>
    <xf numFmtId="0" fontId="63" fillId="7" borderId="0" xfId="161" applyFont="1" applyFill="1" applyBorder="1" applyAlignment="1">
      <alignment horizontal="center"/>
    </xf>
    <xf numFmtId="0" fontId="62" fillId="7" borderId="0" xfId="161" applyFont="1" applyFill="1" applyBorder="1"/>
    <xf numFmtId="0" fontId="62" fillId="7" borderId="0" xfId="161" applyFont="1" applyFill="1" applyBorder="1" applyAlignment="1">
      <alignment horizontal="left"/>
    </xf>
    <xf numFmtId="0" fontId="62" fillId="7" borderId="0" xfId="161" applyFont="1" applyFill="1" applyBorder="1" applyAlignment="1">
      <alignment horizontal="center"/>
    </xf>
    <xf numFmtId="0" fontId="63" fillId="7" borderId="0" xfId="161" applyFont="1" applyFill="1" applyAlignment="1">
      <alignment horizontal="center"/>
    </xf>
    <xf numFmtId="0" fontId="70" fillId="0" borderId="0" xfId="0" applyFont="1"/>
    <xf numFmtId="0" fontId="62" fillId="7" borderId="0" xfId="161" applyFont="1" applyFill="1" applyBorder="1" applyAlignment="1">
      <alignment horizontal="center" vertical="center"/>
    </xf>
    <xf numFmtId="0" fontId="62" fillId="7" borderId="0" xfId="161" applyFont="1" applyFill="1" applyBorder="1" applyAlignment="1">
      <alignment vertical="center"/>
    </xf>
    <xf numFmtId="0" fontId="62" fillId="7" borderId="0" xfId="161" applyFont="1" applyFill="1" applyAlignment="1">
      <alignment horizontal="center" vertical="center"/>
    </xf>
    <xf numFmtId="0" fontId="63" fillId="7" borderId="0" xfId="161" applyFont="1" applyFill="1" applyBorder="1" applyAlignment="1">
      <alignment horizontal="left"/>
    </xf>
    <xf numFmtId="0" fontId="62" fillId="7" borderId="0" xfId="161" applyFont="1" applyFill="1" applyAlignment="1">
      <alignment vertical="center"/>
    </xf>
    <xf numFmtId="0" fontId="63" fillId="7" borderId="0" xfId="161" applyFont="1" applyFill="1" applyBorder="1" applyAlignment="1">
      <alignment horizontal="center" vertical="center"/>
    </xf>
    <xf numFmtId="0" fontId="62" fillId="7" borderId="0" xfId="161" applyFont="1" applyFill="1" applyBorder="1" applyAlignment="1">
      <alignment horizontal="left" vertical="center"/>
    </xf>
    <xf numFmtId="0" fontId="62" fillId="7" borderId="0" xfId="161" applyFont="1" applyFill="1" applyBorder="1" applyAlignment="1">
      <alignment horizontal="right" vertical="center"/>
    </xf>
    <xf numFmtId="0" fontId="63" fillId="7" borderId="0" xfId="161" applyFont="1" applyFill="1" applyBorder="1" applyAlignment="1">
      <alignment vertical="center"/>
    </xf>
    <xf numFmtId="0" fontId="62" fillId="7" borderId="0" xfId="161" applyFont="1" applyFill="1" applyBorder="1" applyAlignment="1">
      <alignment horizontal="left" vertical="center"/>
    </xf>
    <xf numFmtId="0" fontId="62" fillId="7" borderId="0" xfId="161" applyFont="1" applyFill="1" applyBorder="1" applyAlignment="1">
      <alignment horizontal="center" vertical="center"/>
    </xf>
    <xf numFmtId="0" fontId="62" fillId="7" borderId="0" xfId="161" applyFont="1" applyFill="1" applyBorder="1" applyAlignment="1">
      <alignment horizontal="center" vertical="center" shrinkToFit="1"/>
    </xf>
    <xf numFmtId="0" fontId="62" fillId="7" borderId="0" xfId="161" applyFont="1" applyFill="1" applyBorder="1" applyAlignment="1">
      <alignment vertical="center" wrapText="1"/>
    </xf>
    <xf numFmtId="177" fontId="62" fillId="7" borderId="45" xfId="161" applyNumberFormat="1" applyFont="1" applyFill="1" applyBorder="1" applyAlignment="1">
      <alignment vertical="center"/>
    </xf>
    <xf numFmtId="178" fontId="62" fillId="7" borderId="0" xfId="161" applyNumberFormat="1" applyFont="1" applyFill="1" applyBorder="1" applyAlignment="1">
      <alignment horizontal="center" vertical="center"/>
    </xf>
    <xf numFmtId="179" fontId="62" fillId="7" borderId="0" xfId="161" applyNumberFormat="1" applyFont="1" applyFill="1" applyBorder="1" applyAlignment="1">
      <alignment horizontal="center" vertical="center"/>
    </xf>
    <xf numFmtId="177" fontId="62" fillId="7" borderId="0" xfId="161" applyNumberFormat="1" applyFont="1" applyFill="1" applyBorder="1" applyAlignment="1">
      <alignment vertical="center"/>
    </xf>
    <xf numFmtId="177" fontId="62" fillId="7" borderId="0" xfId="161" applyNumberFormat="1" applyFont="1" applyFill="1" applyBorder="1" applyAlignment="1">
      <alignment horizontal="center" vertical="center"/>
    </xf>
    <xf numFmtId="179" fontId="62" fillId="7" borderId="0" xfId="161" applyNumberFormat="1" applyFont="1" applyFill="1" applyBorder="1" applyAlignment="1">
      <alignment vertical="center"/>
    </xf>
    <xf numFmtId="0" fontId="69" fillId="7" borderId="0" xfId="161" applyFont="1" applyFill="1" applyAlignment="1">
      <alignment vertical="center"/>
    </xf>
    <xf numFmtId="0" fontId="67" fillId="7" borderId="0" xfId="161" applyFont="1" applyFill="1" applyAlignment="1">
      <alignment vertical="center"/>
    </xf>
    <xf numFmtId="0" fontId="63" fillId="7" borderId="0" xfId="161" applyFont="1" applyFill="1" applyAlignment="1">
      <alignment vertical="center"/>
    </xf>
    <xf numFmtId="0" fontId="63" fillId="7" borderId="43" xfId="161" applyFont="1" applyFill="1" applyBorder="1" applyAlignment="1">
      <alignment vertical="center"/>
    </xf>
    <xf numFmtId="0" fontId="66" fillId="7" borderId="0" xfId="161" applyFont="1" applyFill="1" applyAlignment="1">
      <alignment vertical="center"/>
    </xf>
    <xf numFmtId="0" fontId="64" fillId="7" borderId="0" xfId="161" applyFont="1" applyFill="1" applyAlignment="1">
      <alignment vertical="center"/>
    </xf>
    <xf numFmtId="0" fontId="62" fillId="7" borderId="0" xfId="161" applyFont="1" applyFill="1" applyBorder="1" applyAlignment="1">
      <alignment horizontal="center" vertical="center"/>
    </xf>
    <xf numFmtId="177" fontId="62" fillId="7" borderId="0" xfId="161" applyNumberFormat="1" applyFont="1" applyFill="1" applyBorder="1" applyAlignment="1">
      <alignment horizontal="center" vertical="center"/>
    </xf>
    <xf numFmtId="0" fontId="62" fillId="7" borderId="0" xfId="161" applyFont="1" applyFill="1" applyBorder="1" applyAlignment="1">
      <alignment horizontal="left" vertical="center"/>
    </xf>
    <xf numFmtId="0" fontId="63" fillId="7" borderId="0" xfId="161" applyFont="1" applyFill="1" applyAlignment="1">
      <alignment horizontal="center"/>
    </xf>
    <xf numFmtId="0" fontId="63" fillId="7" borderId="0" xfId="161" applyFont="1" applyFill="1" applyBorder="1" applyAlignment="1">
      <alignment horizontal="center" vertical="center"/>
    </xf>
    <xf numFmtId="1" fontId="62" fillId="7" borderId="0" xfId="161" applyNumberFormat="1" applyFont="1" applyFill="1" applyBorder="1" applyAlignment="1">
      <alignment horizontal="right" vertical="center"/>
    </xf>
    <xf numFmtId="0" fontId="65" fillId="7" borderId="0" xfId="161" applyFont="1" applyFill="1" applyAlignment="1">
      <alignment vertical="center"/>
    </xf>
    <xf numFmtId="0" fontId="65" fillId="7" borderId="0" xfId="161" applyFont="1" applyFill="1" applyAlignment="1">
      <alignment horizontal="center" vertical="center"/>
    </xf>
    <xf numFmtId="0" fontId="69" fillId="7" borderId="0" xfId="161" applyFont="1" applyFill="1" applyBorder="1" applyAlignment="1">
      <alignment vertical="center"/>
    </xf>
    <xf numFmtId="0" fontId="67" fillId="7" borderId="0" xfId="161" applyFont="1" applyFill="1" applyBorder="1" applyAlignment="1">
      <alignment vertical="center"/>
    </xf>
    <xf numFmtId="0" fontId="66" fillId="7" borderId="0" xfId="161" applyFont="1" applyFill="1" applyBorder="1" applyAlignment="1">
      <alignment vertical="center"/>
    </xf>
    <xf numFmtId="0" fontId="64" fillId="7" borderId="0" xfId="161" applyFont="1" applyFill="1" applyBorder="1" applyAlignment="1">
      <alignment vertical="center"/>
    </xf>
    <xf numFmtId="0" fontId="68" fillId="7" borderId="0" xfId="161" applyFont="1" applyFill="1" applyBorder="1" applyAlignment="1">
      <alignment vertical="center"/>
    </xf>
    <xf numFmtId="1" fontId="62" fillId="7" borderId="0" xfId="161" applyNumberFormat="1" applyFont="1" applyFill="1" applyBorder="1" applyAlignment="1">
      <alignment vertical="center"/>
    </xf>
    <xf numFmtId="0" fontId="63" fillId="7" borderId="0" xfId="161" applyFont="1" applyFill="1" applyBorder="1" applyAlignment="1"/>
    <xf numFmtId="0" fontId="75" fillId="7" borderId="0" xfId="161" applyFont="1" applyFill="1" applyBorder="1" applyAlignment="1">
      <alignment vertical="center"/>
    </xf>
    <xf numFmtId="0" fontId="75" fillId="7" borderId="0" xfId="161" applyFont="1" applyFill="1" applyAlignment="1">
      <alignment vertical="center"/>
    </xf>
    <xf numFmtId="0" fontId="71" fillId="7" borderId="0" xfId="161" applyFont="1" applyFill="1" applyBorder="1" applyAlignment="1">
      <alignment horizontal="left" vertical="center"/>
    </xf>
    <xf numFmtId="0" fontId="75" fillId="7" borderId="0" xfId="161" applyFont="1" applyFill="1" applyBorder="1" applyAlignment="1">
      <alignment horizontal="left" vertical="center"/>
    </xf>
    <xf numFmtId="0" fontId="75" fillId="7" borderId="0" xfId="161" applyFont="1" applyFill="1" applyAlignment="1">
      <alignment horizontal="left" vertical="center"/>
    </xf>
    <xf numFmtId="0" fontId="73" fillId="0" borderId="0" xfId="0" applyFont="1" applyAlignment="1"/>
    <xf numFmtId="0" fontId="70" fillId="7" borderId="0" xfId="0" applyFont="1" applyFill="1"/>
    <xf numFmtId="0" fontId="73" fillId="7" borderId="0" xfId="0" applyFont="1" applyFill="1" applyAlignment="1"/>
    <xf numFmtId="0" fontId="70" fillId="7" borderId="0" xfId="0" applyFont="1" applyFill="1" applyAlignment="1"/>
    <xf numFmtId="0" fontId="70" fillId="0" borderId="0" xfId="0" applyFont="1" applyAlignment="1">
      <alignment vertical="center"/>
    </xf>
    <xf numFmtId="0" fontId="80" fillId="0" borderId="0" xfId="0" applyFont="1"/>
    <xf numFmtId="0" fontId="7" fillId="0" borderId="0" xfId="0" applyFont="1"/>
    <xf numFmtId="0" fontId="75" fillId="7" borderId="0" xfId="161" applyFont="1" applyFill="1" applyBorder="1" applyAlignment="1">
      <alignment horizontal="left" vertical="center"/>
    </xf>
    <xf numFmtId="0" fontId="62" fillId="7" borderId="0" xfId="161" applyFont="1" applyFill="1" applyBorder="1" applyAlignment="1">
      <alignment horizontal="center" vertical="center"/>
    </xf>
    <xf numFmtId="177" fontId="62" fillId="7" borderId="0" xfId="161" applyNumberFormat="1" applyFont="1" applyFill="1" applyBorder="1" applyAlignment="1">
      <alignment horizontal="center" vertical="center"/>
    </xf>
    <xf numFmtId="0" fontId="63" fillId="7" borderId="0" xfId="161" applyFont="1" applyFill="1" applyAlignment="1">
      <alignment horizontal="left" vertical="center"/>
    </xf>
    <xf numFmtId="0" fontId="63" fillId="7" borderId="0" xfId="161" applyFont="1" applyFill="1" applyAlignment="1"/>
    <xf numFmtId="0" fontId="62" fillId="7" borderId="0" xfId="161" applyFont="1" applyFill="1" applyAlignment="1"/>
    <xf numFmtId="0" fontId="82" fillId="7" borderId="0" xfId="161" applyFont="1" applyFill="1" applyBorder="1" applyAlignment="1">
      <alignment vertical="center"/>
    </xf>
    <xf numFmtId="0" fontId="76" fillId="7" borderId="0" xfId="161" applyFont="1" applyFill="1" applyBorder="1" applyAlignment="1">
      <alignment vertical="center"/>
    </xf>
    <xf numFmtId="0" fontId="82" fillId="7" borderId="0" xfId="161" applyFont="1" applyFill="1" applyAlignment="1">
      <alignment vertical="center"/>
    </xf>
    <xf numFmtId="0" fontId="84" fillId="0" borderId="42" xfId="0" applyFont="1" applyBorder="1" applyAlignment="1">
      <alignment horizontal="center"/>
    </xf>
    <xf numFmtId="0" fontId="83" fillId="7" borderId="0" xfId="161" applyFont="1" applyFill="1" applyBorder="1" applyAlignment="1">
      <alignment horizontal="left" vertical="center"/>
    </xf>
    <xf numFmtId="0" fontId="62" fillId="26" borderId="46" xfId="161" applyFont="1" applyFill="1" applyBorder="1" applyAlignment="1">
      <alignment horizontal="center" vertical="center"/>
    </xf>
    <xf numFmtId="0" fontId="62" fillId="26" borderId="43" xfId="161" applyFont="1" applyFill="1" applyBorder="1" applyAlignment="1">
      <alignment horizontal="center" vertical="center"/>
    </xf>
    <xf numFmtId="177" fontId="64" fillId="7" borderId="0" xfId="161" applyNumberFormat="1" applyFont="1" applyFill="1" applyBorder="1" applyAlignment="1">
      <alignment horizontal="center" vertical="center"/>
    </xf>
    <xf numFmtId="181" fontId="62" fillId="7" borderId="0" xfId="317" applyNumberFormat="1" applyFont="1" applyFill="1" applyBorder="1" applyAlignment="1">
      <alignment horizontal="right" vertical="center"/>
    </xf>
    <xf numFmtId="3" fontId="62" fillId="7" borderId="0" xfId="161" applyNumberFormat="1" applyFont="1" applyFill="1" applyBorder="1" applyAlignment="1">
      <alignment horizontal="right" vertical="center"/>
    </xf>
    <xf numFmtId="177" fontId="62" fillId="7" borderId="0" xfId="161" applyNumberFormat="1" applyFont="1" applyFill="1" applyBorder="1" applyAlignment="1">
      <alignment horizontal="left" vertical="center"/>
    </xf>
    <xf numFmtId="0" fontId="70" fillId="0" borderId="0" xfId="0" applyFont="1" applyAlignment="1">
      <alignment vertical="top"/>
    </xf>
    <xf numFmtId="0" fontId="70" fillId="0" borderId="0" xfId="0" applyFont="1" applyBorder="1" applyAlignment="1">
      <alignment vertical="top"/>
    </xf>
    <xf numFmtId="177" fontId="62" fillId="7" borderId="0" xfId="161" applyNumberFormat="1" applyFont="1" applyFill="1" applyBorder="1" applyAlignment="1">
      <alignment vertical="top"/>
    </xf>
    <xf numFmtId="177" fontId="70" fillId="7" borderId="45" xfId="161" applyNumberFormat="1" applyFont="1" applyFill="1" applyBorder="1" applyAlignment="1">
      <alignment horizontal="left" vertical="top" shrinkToFit="1"/>
    </xf>
    <xf numFmtId="0" fontId="62" fillId="7" borderId="0" xfId="161" applyFont="1" applyFill="1" applyAlignment="1">
      <alignment vertical="top"/>
    </xf>
    <xf numFmtId="0" fontId="73" fillId="0" borderId="0" xfId="0" applyFont="1" applyAlignment="1">
      <alignment vertical="top"/>
    </xf>
    <xf numFmtId="0" fontId="73" fillId="0" borderId="52" xfId="0" applyFont="1" applyBorder="1" applyAlignment="1">
      <alignment vertical="top"/>
    </xf>
    <xf numFmtId="0" fontId="62" fillId="7" borderId="0" xfId="161" applyFont="1" applyFill="1" applyBorder="1" applyAlignment="1">
      <alignment vertical="top"/>
    </xf>
    <xf numFmtId="177" fontId="70" fillId="7" borderId="0" xfId="161" applyNumberFormat="1" applyFont="1" applyFill="1" applyBorder="1" applyAlignment="1">
      <alignment vertical="top"/>
    </xf>
    <xf numFmtId="0" fontId="70" fillId="0" borderId="0" xfId="0" applyNumberFormat="1" applyFont="1" applyAlignment="1">
      <alignment vertical="top"/>
    </xf>
    <xf numFmtId="0" fontId="62" fillId="7" borderId="0" xfId="161" applyFont="1" applyFill="1" applyBorder="1" applyAlignment="1">
      <alignment horizontal="center" vertical="center"/>
    </xf>
    <xf numFmtId="177" fontId="62" fillId="7" borderId="0" xfId="161" applyNumberFormat="1" applyFont="1" applyFill="1" applyBorder="1" applyAlignment="1">
      <alignment horizontal="center" vertical="center"/>
    </xf>
    <xf numFmtId="0" fontId="62" fillId="7" borderId="0" xfId="161" applyFont="1" applyFill="1" applyBorder="1" applyAlignment="1">
      <alignment horizontal="center" vertical="center"/>
    </xf>
    <xf numFmtId="0" fontId="65" fillId="7" borderId="0" xfId="161" applyFont="1" applyFill="1" applyAlignment="1">
      <alignment horizontal="left" vertical="center"/>
    </xf>
    <xf numFmtId="177" fontId="62" fillId="7" borderId="0" xfId="161" applyNumberFormat="1" applyFont="1" applyFill="1" applyBorder="1" applyAlignment="1">
      <alignment horizontal="center" vertical="center"/>
    </xf>
    <xf numFmtId="0" fontId="62" fillId="7" borderId="0" xfId="161" applyFont="1" applyFill="1" applyBorder="1" applyAlignment="1">
      <alignment horizontal="left" vertical="center"/>
    </xf>
    <xf numFmtId="0" fontId="74" fillId="0" borderId="43" xfId="0" applyFont="1" applyBorder="1" applyAlignment="1">
      <alignment horizontal="center" vertical="center" wrapText="1"/>
    </xf>
    <xf numFmtId="0" fontId="62" fillId="7" borderId="43" xfId="161" applyFont="1" applyFill="1" applyBorder="1" applyAlignment="1">
      <alignment horizontal="center" vertical="center"/>
    </xf>
    <xf numFmtId="0" fontId="70" fillId="0" borderId="0" xfId="0" applyFont="1" applyAlignment="1">
      <alignment horizontal="center" vertical="top"/>
    </xf>
    <xf numFmtId="0" fontId="83" fillId="7" borderId="0" xfId="161" applyFont="1" applyFill="1" applyAlignment="1">
      <alignment vertical="center"/>
    </xf>
    <xf numFmtId="0" fontId="89" fillId="0" borderId="0" xfId="81" applyFont="1" applyAlignment="1">
      <alignment horizontal="center"/>
    </xf>
    <xf numFmtId="0" fontId="3" fillId="0" borderId="0" xfId="81"/>
    <xf numFmtId="0" fontId="90" fillId="0" borderId="0" xfId="81" applyFont="1"/>
    <xf numFmtId="49" fontId="90" fillId="0" borderId="0" xfId="81" applyNumberFormat="1" applyFont="1"/>
    <xf numFmtId="0" fontId="91" fillId="0" borderId="0" xfId="81" applyFont="1" applyAlignment="1">
      <alignment horizontal="left"/>
    </xf>
    <xf numFmtId="0" fontId="89" fillId="0" borderId="0" xfId="81" applyFont="1"/>
    <xf numFmtId="0" fontId="91" fillId="0" borderId="0" xfId="81" applyFont="1"/>
    <xf numFmtId="0" fontId="0" fillId="0" borderId="0" xfId="0" applyAlignment="1">
      <alignment vertical="center"/>
    </xf>
    <xf numFmtId="0" fontId="91" fillId="0" borderId="53" xfId="81" applyFont="1" applyBorder="1" applyAlignment="1">
      <alignment horizontal="center" shrinkToFit="1"/>
    </xf>
    <xf numFmtId="0" fontId="91" fillId="0" borderId="0" xfId="81" applyFont="1" applyAlignment="1">
      <alignment horizontal="center"/>
    </xf>
    <xf numFmtId="0" fontId="89" fillId="0" borderId="40" xfId="81" applyFont="1" applyBorder="1" applyAlignment="1">
      <alignment horizontal="center"/>
    </xf>
    <xf numFmtId="0" fontId="91" fillId="0" borderId="0" xfId="81" applyFont="1" applyAlignment="1">
      <alignment horizontal="right"/>
    </xf>
    <xf numFmtId="0" fontId="74" fillId="0" borderId="0" xfId="0" applyFont="1" applyBorder="1" applyAlignment="1">
      <alignment vertical="center" wrapText="1"/>
    </xf>
    <xf numFmtId="0" fontId="70" fillId="7" borderId="0" xfId="161" applyFont="1" applyFill="1" applyBorder="1" applyAlignment="1">
      <alignment horizontal="center" vertical="center"/>
    </xf>
    <xf numFmtId="0" fontId="83" fillId="7" borderId="0" xfId="161" applyNumberFormat="1" applyFont="1" applyFill="1" applyBorder="1" applyAlignment="1">
      <alignment vertical="center"/>
    </xf>
    <xf numFmtId="0" fontId="62" fillId="7" borderId="0" xfId="161" applyNumberFormat="1" applyFont="1" applyFill="1"/>
    <xf numFmtId="0" fontId="0" fillId="0" borderId="0" xfId="0" applyNumberFormat="1"/>
    <xf numFmtId="0" fontId="62" fillId="7" borderId="0" xfId="161" applyNumberFormat="1" applyFont="1" applyFill="1" applyAlignment="1">
      <alignment vertical="center"/>
    </xf>
    <xf numFmtId="0" fontId="79" fillId="7" borderId="0" xfId="161" applyNumberFormat="1" applyFont="1" applyFill="1" applyBorder="1" applyAlignment="1">
      <alignment horizontal="center" vertical="center"/>
    </xf>
    <xf numFmtId="0" fontId="64" fillId="7" borderId="0" xfId="161" applyNumberFormat="1" applyFont="1" applyFill="1" applyAlignment="1">
      <alignment horizontal="center" vertical="center"/>
    </xf>
    <xf numFmtId="0" fontId="62" fillId="7" borderId="0" xfId="161" applyNumberFormat="1" applyFont="1" applyFill="1" applyBorder="1" applyAlignment="1">
      <alignment vertical="center"/>
    </xf>
    <xf numFmtId="0" fontId="83" fillId="7" borderId="0" xfId="161" applyNumberFormat="1" applyFont="1" applyFill="1" applyAlignment="1">
      <alignment horizontal="center" vertical="center"/>
    </xf>
    <xf numFmtId="0" fontId="83" fillId="7" borderId="43" xfId="161" applyNumberFormat="1" applyFont="1" applyFill="1" applyBorder="1" applyAlignment="1">
      <alignment vertical="center"/>
    </xf>
    <xf numFmtId="0" fontId="70" fillId="7" borderId="0" xfId="161" applyFont="1" applyFill="1"/>
    <xf numFmtId="0" fontId="92" fillId="7" borderId="0" xfId="161" applyFont="1" applyFill="1"/>
    <xf numFmtId="0" fontId="92" fillId="7" borderId="0" xfId="161" applyFont="1" applyFill="1" applyAlignment="1">
      <alignment horizontal="center"/>
    </xf>
    <xf numFmtId="177" fontId="70" fillId="7" borderId="0" xfId="161" applyNumberFormat="1" applyFont="1" applyFill="1" applyBorder="1" applyAlignment="1">
      <alignment horizontal="left" vertical="center"/>
    </xf>
    <xf numFmtId="177" fontId="70" fillId="7" borderId="0" xfId="161" applyNumberFormat="1" applyFont="1" applyFill="1" applyBorder="1" applyAlignment="1">
      <alignment horizontal="center" vertical="center"/>
    </xf>
    <xf numFmtId="181" fontId="70" fillId="7" borderId="0" xfId="317" applyNumberFormat="1" applyFont="1" applyFill="1" applyBorder="1" applyAlignment="1">
      <alignment horizontal="right" vertical="center"/>
    </xf>
    <xf numFmtId="177" fontId="70" fillId="7" borderId="0" xfId="161" applyNumberFormat="1" applyFont="1" applyFill="1" applyBorder="1" applyAlignment="1">
      <alignment vertical="center"/>
    </xf>
    <xf numFmtId="3" fontId="70" fillId="7" borderId="0" xfId="161" applyNumberFormat="1" applyFont="1" applyFill="1" applyBorder="1" applyAlignment="1">
      <alignment horizontal="right" vertical="center"/>
    </xf>
    <xf numFmtId="0" fontId="70" fillId="7" borderId="0" xfId="161" applyFont="1" applyFill="1" applyBorder="1" applyAlignment="1">
      <alignment vertical="center"/>
    </xf>
    <xf numFmtId="0" fontId="70" fillId="7" borderId="0" xfId="161" applyNumberFormat="1" applyFont="1" applyFill="1" applyBorder="1" applyAlignment="1">
      <alignment vertical="center"/>
    </xf>
    <xf numFmtId="1" fontId="70" fillId="7" borderId="0" xfId="161" applyNumberFormat="1" applyFont="1" applyFill="1" applyBorder="1" applyAlignment="1">
      <alignment vertical="center"/>
    </xf>
    <xf numFmtId="1" fontId="70" fillId="7" borderId="0" xfId="161" applyNumberFormat="1" applyFont="1" applyFill="1" applyBorder="1" applyAlignment="1">
      <alignment horizontal="right" vertical="center"/>
    </xf>
    <xf numFmtId="0" fontId="94" fillId="7" borderId="0" xfId="161" applyFont="1" applyFill="1" applyBorder="1" applyAlignment="1">
      <alignment vertical="center"/>
    </xf>
    <xf numFmtId="0" fontId="92" fillId="7" borderId="0" xfId="161" applyFont="1" applyFill="1" applyBorder="1" applyAlignment="1">
      <alignment vertical="center"/>
    </xf>
    <xf numFmtId="0" fontId="95" fillId="7" borderId="0" xfId="161" applyFont="1" applyFill="1" applyBorder="1" applyAlignment="1">
      <alignment vertical="center"/>
    </xf>
    <xf numFmtId="0" fontId="78" fillId="7" borderId="0" xfId="161" applyFont="1" applyFill="1" applyBorder="1" applyAlignment="1">
      <alignment vertical="center"/>
    </xf>
    <xf numFmtId="0" fontId="96" fillId="7" borderId="0" xfId="161" applyFont="1" applyFill="1" applyBorder="1" applyAlignment="1">
      <alignment vertical="center"/>
    </xf>
    <xf numFmtId="0" fontId="97" fillId="7" borderId="0" xfId="161" applyFont="1" applyFill="1" applyBorder="1" applyAlignment="1">
      <alignment vertical="center"/>
    </xf>
    <xf numFmtId="0" fontId="92" fillId="7" borderId="0" xfId="161" applyFont="1" applyFill="1" applyBorder="1" applyAlignment="1">
      <alignment horizontal="center" vertical="center"/>
    </xf>
    <xf numFmtId="0" fontId="66" fillId="7" borderId="0" xfId="161" applyFont="1" applyFill="1" applyBorder="1" applyAlignment="1"/>
    <xf numFmtId="0" fontId="74" fillId="0" borderId="0" xfId="0" applyFont="1" applyBorder="1" applyAlignment="1">
      <alignment horizontal="center" vertical="center"/>
    </xf>
    <xf numFmtId="0" fontId="66" fillId="7" borderId="0" xfId="161" applyFont="1" applyFill="1" applyBorder="1" applyAlignment="1">
      <alignment horizontal="center"/>
    </xf>
    <xf numFmtId="0" fontId="62" fillId="0" borderId="43" xfId="0" applyFont="1" applyBorder="1" applyAlignment="1">
      <alignment horizontal="center" vertical="center"/>
    </xf>
    <xf numFmtId="0" fontId="65" fillId="0" borderId="43" xfId="0" applyFont="1" applyBorder="1" applyAlignment="1">
      <alignment horizontal="center" vertical="center"/>
    </xf>
    <xf numFmtId="0" fontId="101" fillId="7" borderId="0" xfId="161" applyFont="1" applyFill="1" applyAlignment="1">
      <alignment vertical="center"/>
    </xf>
    <xf numFmtId="0" fontId="66" fillId="7" borderId="54" xfId="161" applyFont="1" applyFill="1" applyBorder="1" applyAlignment="1">
      <alignment horizontal="center"/>
    </xf>
    <xf numFmtId="0" fontId="66" fillId="7" borderId="55" xfId="161" applyFont="1" applyFill="1" applyBorder="1" applyAlignment="1">
      <alignment horizontal="center"/>
    </xf>
    <xf numFmtId="0" fontId="65" fillId="7" borderId="56" xfId="161" applyFont="1" applyFill="1" applyBorder="1" applyAlignment="1">
      <alignment horizontal="center"/>
    </xf>
    <xf numFmtId="0" fontId="65" fillId="7" borderId="55" xfId="161" applyFont="1" applyFill="1" applyBorder="1" applyAlignment="1">
      <alignment horizontal="center"/>
    </xf>
    <xf numFmtId="0" fontId="101" fillId="7" borderId="0" xfId="161" applyFont="1" applyFill="1" applyBorder="1" applyAlignment="1">
      <alignment horizontal="center" vertical="center"/>
    </xf>
    <xf numFmtId="0" fontId="101" fillId="7" borderId="0" xfId="161" applyFont="1" applyFill="1" applyBorder="1" applyAlignment="1">
      <alignment vertical="center"/>
    </xf>
    <xf numFmtId="0" fontId="70" fillId="7" borderId="0" xfId="161" applyFont="1" applyFill="1" applyBorder="1" applyAlignment="1">
      <alignment vertical="top"/>
    </xf>
    <xf numFmtId="0" fontId="70" fillId="7" borderId="0" xfId="161" applyNumberFormat="1" applyFont="1" applyFill="1" applyBorder="1" applyAlignment="1">
      <alignment vertical="top"/>
    </xf>
    <xf numFmtId="177" fontId="62" fillId="7" borderId="1" xfId="161" applyNumberFormat="1" applyFont="1" applyFill="1" applyBorder="1" applyAlignment="1">
      <alignment vertical="top"/>
    </xf>
    <xf numFmtId="0" fontId="62" fillId="7" borderId="1" xfId="161" applyFont="1" applyFill="1" applyBorder="1" applyAlignment="1">
      <alignment vertical="top"/>
    </xf>
    <xf numFmtId="0" fontId="65" fillId="7" borderId="62" xfId="161" applyFont="1" applyFill="1" applyBorder="1" applyAlignment="1">
      <alignment horizontal="center"/>
    </xf>
    <xf numFmtId="0" fontId="65" fillId="7" borderId="64" xfId="161" applyFont="1" applyFill="1" applyBorder="1" applyAlignment="1">
      <alignment horizontal="center"/>
    </xf>
    <xf numFmtId="0" fontId="72" fillId="0" borderId="0" xfId="0" applyFont="1" applyAlignment="1">
      <alignment horizontal="left" vertical="center"/>
    </xf>
    <xf numFmtId="0" fontId="73" fillId="0" borderId="0" xfId="0" applyFont="1" applyAlignment="1">
      <alignment horizontal="left" vertical="center"/>
    </xf>
    <xf numFmtId="0" fontId="70" fillId="0" borderId="0" xfId="0" applyFont="1" applyAlignment="1">
      <alignment horizontal="left" vertical="center"/>
    </xf>
    <xf numFmtId="0" fontId="73" fillId="0" borderId="0" xfId="0" applyFont="1"/>
    <xf numFmtId="180" fontId="83" fillId="0" borderId="0" xfId="0" applyNumberFormat="1" applyFont="1" applyAlignment="1">
      <alignment horizontal="center" vertical="top"/>
    </xf>
    <xf numFmtId="0" fontId="107" fillId="26" borderId="0" xfId="161" applyFont="1" applyFill="1" applyAlignment="1">
      <alignment vertical="center"/>
    </xf>
    <xf numFmtId="0" fontId="107" fillId="7" borderId="0" xfId="161" applyFont="1" applyFill="1" applyAlignment="1">
      <alignment vertical="center"/>
    </xf>
    <xf numFmtId="0" fontId="75" fillId="7" borderId="0" xfId="161" applyFont="1" applyFill="1" applyBorder="1" applyAlignment="1">
      <alignment horizontal="left" vertical="center"/>
    </xf>
    <xf numFmtId="0" fontId="83" fillId="7" borderId="51" xfId="161" applyFont="1" applyFill="1" applyBorder="1" applyAlignment="1">
      <alignment horizontal="center" vertical="center"/>
    </xf>
    <xf numFmtId="0" fontId="83" fillId="7" borderId="49" xfId="161" applyFont="1" applyFill="1" applyBorder="1" applyAlignment="1">
      <alignment horizontal="center" vertical="center"/>
    </xf>
    <xf numFmtId="0" fontId="65" fillId="7" borderId="0" xfId="161" applyFont="1" applyFill="1" applyAlignment="1">
      <alignment horizontal="center"/>
    </xf>
    <xf numFmtId="0" fontId="62" fillId="7" borderId="0" xfId="161" applyFont="1" applyFill="1" applyAlignment="1">
      <alignment horizontal="center"/>
    </xf>
    <xf numFmtId="0" fontId="0" fillId="0" borderId="0" xfId="0" applyAlignment="1">
      <alignment horizontal="center" wrapText="1"/>
    </xf>
    <xf numFmtId="0" fontId="62" fillId="7" borderId="0" xfId="161" applyFont="1" applyFill="1" applyAlignment="1">
      <alignment horizontal="center" vertical="center"/>
    </xf>
    <xf numFmtId="0" fontId="62" fillId="26" borderId="44" xfId="161" applyFont="1" applyFill="1" applyBorder="1" applyAlignment="1">
      <alignment horizontal="center" vertical="center"/>
    </xf>
    <xf numFmtId="0" fontId="62" fillId="26" borderId="45" xfId="161" applyFont="1" applyFill="1" applyBorder="1" applyAlignment="1">
      <alignment horizontal="center" vertical="center"/>
    </xf>
    <xf numFmtId="0" fontId="64" fillId="26" borderId="44" xfId="161" applyFont="1" applyFill="1" applyBorder="1" applyAlignment="1">
      <alignment horizontal="center" vertical="center"/>
    </xf>
    <xf numFmtId="0" fontId="64" fillId="26" borderId="45" xfId="161" applyFont="1" applyFill="1" applyBorder="1" applyAlignment="1">
      <alignment horizontal="center" vertical="center"/>
    </xf>
    <xf numFmtId="0" fontId="67" fillId="7" borderId="0" xfId="161" applyFont="1" applyFill="1" applyAlignment="1">
      <alignment horizontal="center" vertical="center"/>
    </xf>
    <xf numFmtId="0" fontId="62" fillId="7" borderId="44" xfId="161" applyFont="1" applyFill="1" applyBorder="1" applyAlignment="1">
      <alignment horizontal="center" vertical="center"/>
    </xf>
    <xf numFmtId="0" fontId="62" fillId="7" borderId="45" xfId="161" applyFont="1" applyFill="1" applyBorder="1" applyAlignment="1">
      <alignment horizontal="center" vertical="center"/>
    </xf>
    <xf numFmtId="49" fontId="83" fillId="7" borderId="44" xfId="161" applyNumberFormat="1" applyFont="1" applyFill="1" applyBorder="1" applyAlignment="1">
      <alignment horizontal="center" vertical="center"/>
    </xf>
    <xf numFmtId="49" fontId="83" fillId="7" borderId="41" xfId="161" applyNumberFormat="1" applyFont="1" applyFill="1" applyBorder="1" applyAlignment="1">
      <alignment horizontal="center" vertical="center"/>
    </xf>
    <xf numFmtId="49" fontId="83" fillId="7" borderId="45" xfId="161" applyNumberFormat="1" applyFont="1" applyFill="1" applyBorder="1" applyAlignment="1">
      <alignment horizontal="center" vertical="center"/>
    </xf>
    <xf numFmtId="49" fontId="83" fillId="7" borderId="1" xfId="161" applyNumberFormat="1" applyFont="1" applyFill="1" applyBorder="1" applyAlignment="1">
      <alignment horizontal="center" vertical="center"/>
    </xf>
    <xf numFmtId="180" fontId="83" fillId="7" borderId="1" xfId="161" applyNumberFormat="1" applyFont="1" applyFill="1" applyBorder="1" applyAlignment="1">
      <alignment horizontal="left" vertical="center"/>
    </xf>
    <xf numFmtId="0" fontId="83" fillId="7" borderId="47" xfId="161" applyNumberFormat="1" applyFont="1" applyFill="1" applyBorder="1" applyAlignment="1">
      <alignment horizontal="right" vertical="center"/>
    </xf>
    <xf numFmtId="0" fontId="83" fillId="7" borderId="40" xfId="161" applyNumberFormat="1" applyFont="1" applyFill="1" applyBorder="1" applyAlignment="1">
      <alignment horizontal="right" vertical="center"/>
    </xf>
    <xf numFmtId="0" fontId="83" fillId="7" borderId="48" xfId="161" applyFont="1" applyFill="1" applyBorder="1" applyAlignment="1">
      <alignment horizontal="center" vertical="center"/>
    </xf>
    <xf numFmtId="0" fontId="83" fillId="7" borderId="50" xfId="161" applyFont="1" applyFill="1" applyBorder="1" applyAlignment="1">
      <alignment horizontal="center" vertical="center"/>
    </xf>
    <xf numFmtId="0" fontId="70" fillId="7" borderId="48" xfId="161" applyFont="1" applyFill="1" applyBorder="1" applyAlignment="1">
      <alignment horizontal="center" vertical="center"/>
    </xf>
    <xf numFmtId="0" fontId="70" fillId="7" borderId="49" xfId="161" applyFont="1" applyFill="1" applyBorder="1" applyAlignment="1">
      <alignment horizontal="center" vertical="center"/>
    </xf>
    <xf numFmtId="0" fontId="70" fillId="7" borderId="50" xfId="161" applyFont="1" applyFill="1" applyBorder="1" applyAlignment="1">
      <alignment horizontal="center" vertical="center"/>
    </xf>
    <xf numFmtId="0" fontId="70" fillId="7" borderId="57" xfId="161" applyFont="1" applyFill="1" applyBorder="1" applyAlignment="1">
      <alignment horizontal="center" vertical="center"/>
    </xf>
    <xf numFmtId="0" fontId="70" fillId="7" borderId="1" xfId="161" applyFont="1" applyFill="1" applyBorder="1" applyAlignment="1">
      <alignment horizontal="center" vertical="center"/>
    </xf>
    <xf numFmtId="0" fontId="83" fillId="7" borderId="57" xfId="161" applyFont="1" applyFill="1" applyBorder="1" applyAlignment="1">
      <alignment horizontal="center" vertical="center"/>
    </xf>
    <xf numFmtId="0" fontId="83" fillId="7" borderId="1" xfId="161" applyFont="1" applyFill="1" applyBorder="1" applyAlignment="1">
      <alignment horizontal="center" vertical="center"/>
    </xf>
    <xf numFmtId="0" fontId="75" fillId="7" borderId="1" xfId="161" applyFont="1" applyFill="1" applyBorder="1" applyAlignment="1">
      <alignment horizontal="center" vertical="center"/>
    </xf>
    <xf numFmtId="0" fontId="62" fillId="7" borderId="0" xfId="161" applyFont="1" applyFill="1" applyBorder="1" applyAlignment="1">
      <alignment horizontal="left" vertical="top" wrapText="1"/>
    </xf>
    <xf numFmtId="0" fontId="70" fillId="7" borderId="0" xfId="161" applyFont="1" applyFill="1" applyAlignment="1">
      <alignment horizontal="center" vertical="center"/>
    </xf>
    <xf numFmtId="181" fontId="83" fillId="7" borderId="44" xfId="317" applyNumberFormat="1" applyFont="1" applyFill="1" applyBorder="1" applyAlignment="1">
      <alignment horizontal="right" vertical="center"/>
    </xf>
    <xf numFmtId="181" fontId="83" fillId="7" borderId="41" xfId="317" applyNumberFormat="1" applyFont="1" applyFill="1" applyBorder="1" applyAlignment="1">
      <alignment horizontal="right" vertical="center"/>
    </xf>
    <xf numFmtId="0" fontId="75" fillId="7" borderId="0" xfId="161" applyFont="1" applyFill="1" applyBorder="1" applyAlignment="1">
      <alignment horizontal="center" vertical="center"/>
    </xf>
    <xf numFmtId="177" fontId="62" fillId="7" borderId="41" xfId="161" applyNumberFormat="1" applyFont="1" applyFill="1" applyBorder="1" applyAlignment="1">
      <alignment horizontal="left" vertical="center"/>
    </xf>
    <xf numFmtId="177" fontId="62" fillId="7" borderId="45" xfId="161" applyNumberFormat="1" applyFont="1" applyFill="1" applyBorder="1" applyAlignment="1">
      <alignment horizontal="left" vertical="center"/>
    </xf>
    <xf numFmtId="0" fontId="83" fillId="7" borderId="43" xfId="161" applyNumberFormat="1" applyFont="1" applyFill="1" applyBorder="1" applyAlignment="1">
      <alignment horizontal="center" vertical="center"/>
    </xf>
    <xf numFmtId="0" fontId="71" fillId="7" borderId="0" xfId="161" applyFont="1" applyFill="1" applyAlignment="1">
      <alignment horizontal="center"/>
    </xf>
    <xf numFmtId="0" fontId="71" fillId="7" borderId="0" xfId="161" applyFont="1" applyFill="1" applyAlignment="1">
      <alignment horizontal="left" vertical="center"/>
    </xf>
    <xf numFmtId="0" fontId="83" fillId="7" borderId="1" xfId="161" applyFont="1" applyFill="1" applyBorder="1" applyAlignment="1">
      <alignment horizontal="left" vertical="center"/>
    </xf>
    <xf numFmtId="0" fontId="75" fillId="7" borderId="0" xfId="161" applyFont="1" applyFill="1" applyAlignment="1">
      <alignment horizontal="center" vertical="center"/>
    </xf>
    <xf numFmtId="0" fontId="71" fillId="7" borderId="0" xfId="161" applyFont="1" applyFill="1" applyBorder="1" applyAlignment="1">
      <alignment horizontal="left" vertical="center"/>
    </xf>
    <xf numFmtId="0" fontId="83" fillId="7" borderId="41" xfId="161" applyFont="1" applyFill="1" applyBorder="1" applyAlignment="1">
      <alignment horizontal="left" vertical="center"/>
    </xf>
    <xf numFmtId="0" fontId="62" fillId="7" borderId="0" xfId="161" applyFont="1" applyFill="1" applyBorder="1" applyAlignment="1">
      <alignment horizontal="left" vertical="center"/>
    </xf>
    <xf numFmtId="0" fontId="65" fillId="7" borderId="0" xfId="161" applyFont="1" applyFill="1" applyAlignment="1">
      <alignment horizontal="center" vertical="center"/>
    </xf>
    <xf numFmtId="0" fontId="65" fillId="7" borderId="0" xfId="161" applyFont="1" applyFill="1" applyBorder="1" applyAlignment="1">
      <alignment horizontal="center" vertical="center"/>
    </xf>
    <xf numFmtId="0" fontId="62" fillId="7" borderId="0" xfId="161" applyFont="1" applyFill="1" applyBorder="1" applyAlignment="1">
      <alignment horizontal="center" vertical="center"/>
    </xf>
    <xf numFmtId="177" fontId="62" fillId="7" borderId="43" xfId="161" applyNumberFormat="1" applyFont="1" applyFill="1" applyBorder="1" applyAlignment="1">
      <alignment horizontal="center" vertical="center"/>
    </xf>
    <xf numFmtId="177" fontId="62" fillId="7" borderId="44" xfId="161" applyNumberFormat="1" applyFont="1" applyFill="1" applyBorder="1" applyAlignment="1">
      <alignment horizontal="center" vertical="center"/>
    </xf>
    <xf numFmtId="177" fontId="62" fillId="7" borderId="41" xfId="161" applyNumberFormat="1" applyFont="1" applyFill="1" applyBorder="1" applyAlignment="1">
      <alignment horizontal="center" vertical="center"/>
    </xf>
    <xf numFmtId="177" fontId="62" fillId="7" borderId="45" xfId="161" applyNumberFormat="1" applyFont="1" applyFill="1" applyBorder="1" applyAlignment="1">
      <alignment horizontal="center" vertical="center"/>
    </xf>
    <xf numFmtId="181" fontId="100" fillId="7" borderId="44" xfId="317" applyNumberFormat="1" applyFont="1" applyFill="1" applyBorder="1" applyAlignment="1">
      <alignment horizontal="right" vertical="center"/>
    </xf>
    <xf numFmtId="181" fontId="100" fillId="7" borderId="41" xfId="317" applyNumberFormat="1" applyFont="1" applyFill="1" applyBorder="1" applyAlignment="1">
      <alignment horizontal="right" vertical="center"/>
    </xf>
    <xf numFmtId="3" fontId="62" fillId="7" borderId="44" xfId="161" applyNumberFormat="1" applyFont="1" applyFill="1" applyBorder="1" applyAlignment="1">
      <alignment horizontal="right" vertical="center"/>
    </xf>
    <xf numFmtId="3" fontId="62" fillId="7" borderId="41" xfId="161" applyNumberFormat="1" applyFont="1" applyFill="1" applyBorder="1" applyAlignment="1">
      <alignment horizontal="right" vertical="center"/>
    </xf>
    <xf numFmtId="0" fontId="93" fillId="7" borderId="0" xfId="161" applyFont="1" applyFill="1" applyBorder="1" applyAlignment="1">
      <alignment horizontal="center" vertical="center"/>
    </xf>
    <xf numFmtId="0" fontId="70" fillId="7" borderId="0" xfId="161" applyFont="1" applyFill="1" applyBorder="1" applyAlignment="1">
      <alignment horizontal="center" vertical="center"/>
    </xf>
    <xf numFmtId="0" fontId="65" fillId="7" borderId="1" xfId="161" applyNumberFormat="1" applyFont="1" applyFill="1" applyBorder="1" applyAlignment="1">
      <alignment horizontal="center" vertical="center"/>
    </xf>
    <xf numFmtId="177" fontId="70" fillId="7" borderId="1" xfId="161" applyNumberFormat="1" applyFont="1" applyFill="1" applyBorder="1" applyAlignment="1">
      <alignment horizontal="left" vertical="center"/>
    </xf>
    <xf numFmtId="0" fontId="65" fillId="7" borderId="58" xfId="161" applyFont="1" applyFill="1" applyBorder="1" applyAlignment="1">
      <alignment horizontal="center"/>
    </xf>
    <xf numFmtId="0" fontId="65" fillId="7" borderId="59" xfId="161" applyFont="1" applyFill="1" applyBorder="1" applyAlignment="1">
      <alignment horizontal="center"/>
    </xf>
    <xf numFmtId="0" fontId="65" fillId="7" borderId="60" xfId="161" applyFont="1" applyFill="1" applyBorder="1" applyAlignment="1">
      <alignment horizontal="center"/>
    </xf>
    <xf numFmtId="0" fontId="65" fillId="7" borderId="61" xfId="161" applyFont="1" applyFill="1" applyBorder="1" applyAlignment="1">
      <alignment horizontal="center"/>
    </xf>
    <xf numFmtId="0" fontId="65" fillId="7" borderId="48" xfId="161" applyFont="1" applyFill="1" applyBorder="1" applyAlignment="1">
      <alignment horizontal="center"/>
    </xf>
    <xf numFmtId="0" fontId="65" fillId="7" borderId="49" xfId="161" applyFont="1" applyFill="1" applyBorder="1" applyAlignment="1">
      <alignment horizontal="center"/>
    </xf>
    <xf numFmtId="0" fontId="65" fillId="7" borderId="50" xfId="161" applyFont="1" applyFill="1" applyBorder="1" applyAlignment="1">
      <alignment horizontal="center"/>
    </xf>
    <xf numFmtId="0" fontId="102" fillId="7" borderId="62" xfId="161" applyFont="1" applyFill="1" applyBorder="1" applyAlignment="1">
      <alignment horizontal="center" wrapText="1"/>
    </xf>
    <xf numFmtId="0" fontId="103" fillId="7" borderId="63" xfId="161" applyFont="1" applyFill="1" applyBorder="1" applyAlignment="1">
      <alignment horizontal="center" wrapText="1"/>
    </xf>
    <xf numFmtId="177" fontId="62" fillId="7" borderId="0" xfId="161" applyNumberFormat="1" applyFont="1" applyFill="1" applyBorder="1" applyAlignment="1">
      <alignment horizontal="left" vertical="center"/>
    </xf>
    <xf numFmtId="0" fontId="74" fillId="0" borderId="43" xfId="0" applyFont="1" applyBorder="1" applyAlignment="1">
      <alignment horizontal="center" vertical="center" wrapText="1"/>
    </xf>
    <xf numFmtId="0" fontId="74" fillId="0" borderId="43" xfId="0" applyFont="1" applyBorder="1" applyAlignment="1">
      <alignment horizontal="left" vertical="center" wrapText="1"/>
    </xf>
    <xf numFmtId="0" fontId="62" fillId="7" borderId="43" xfId="161" applyFont="1" applyFill="1" applyBorder="1" applyAlignment="1">
      <alignment horizontal="center" vertical="center"/>
    </xf>
    <xf numFmtId="0" fontId="89" fillId="0" borderId="53" xfId="81" applyFont="1" applyBorder="1" applyAlignment="1">
      <alignment horizontal="center"/>
    </xf>
    <xf numFmtId="0" fontId="70" fillId="0" borderId="0" xfId="0" applyFont="1" applyAlignment="1">
      <alignment horizontal="left" vertical="top" wrapText="1"/>
    </xf>
    <xf numFmtId="0" fontId="70" fillId="0" borderId="1" xfId="0" applyFont="1" applyBorder="1" applyAlignment="1">
      <alignment horizontal="left" vertical="top" wrapText="1"/>
    </xf>
    <xf numFmtId="0" fontId="70" fillId="0" borderId="0" xfId="0" applyFont="1" applyAlignment="1">
      <alignment horizontal="center" vertical="top"/>
    </xf>
    <xf numFmtId="181" fontId="70" fillId="7" borderId="44" xfId="317" applyNumberFormat="1" applyFont="1" applyFill="1" applyBorder="1" applyAlignment="1">
      <alignment horizontal="right" vertical="top" shrinkToFit="1"/>
    </xf>
    <xf numFmtId="181" fontId="70" fillId="7" borderId="41" xfId="317" applyNumberFormat="1" applyFont="1" applyFill="1" applyBorder="1" applyAlignment="1">
      <alignment horizontal="right" vertical="top" shrinkToFit="1"/>
    </xf>
    <xf numFmtId="0" fontId="70" fillId="7" borderId="44" xfId="161" applyNumberFormat="1" applyFont="1" applyFill="1" applyBorder="1" applyAlignment="1">
      <alignment horizontal="center" vertical="top" shrinkToFit="1"/>
    </xf>
    <xf numFmtId="0" fontId="70" fillId="7" borderId="41" xfId="161" applyNumberFormat="1" applyFont="1" applyFill="1" applyBorder="1" applyAlignment="1">
      <alignment horizontal="center" vertical="top" shrinkToFit="1"/>
    </xf>
    <xf numFmtId="0" fontId="70" fillId="7" borderId="45" xfId="161" applyNumberFormat="1" applyFont="1" applyFill="1" applyBorder="1" applyAlignment="1">
      <alignment horizontal="center" vertical="top" shrinkToFit="1"/>
    </xf>
    <xf numFmtId="3" fontId="70" fillId="7" borderId="44" xfId="161" applyNumberFormat="1" applyFont="1" applyFill="1" applyBorder="1" applyAlignment="1">
      <alignment horizontal="right" vertical="top" shrinkToFit="1"/>
    </xf>
    <xf numFmtId="3" fontId="70" fillId="7" borderId="41" xfId="161" applyNumberFormat="1" applyFont="1" applyFill="1" applyBorder="1" applyAlignment="1">
      <alignment horizontal="right" vertical="top" shrinkToFit="1"/>
    </xf>
    <xf numFmtId="3" fontId="70" fillId="7" borderId="41" xfId="161" applyNumberFormat="1" applyFont="1" applyFill="1" applyBorder="1" applyAlignment="1">
      <alignment horizontal="left" vertical="top" shrinkToFit="1"/>
    </xf>
    <xf numFmtId="3" fontId="70" fillId="7" borderId="45" xfId="161" applyNumberFormat="1" applyFont="1" applyFill="1" applyBorder="1" applyAlignment="1">
      <alignment horizontal="left" vertical="top" shrinkToFit="1"/>
    </xf>
    <xf numFmtId="3" fontId="70" fillId="7" borderId="47" xfId="161" applyNumberFormat="1" applyFont="1" applyFill="1" applyBorder="1" applyAlignment="1">
      <alignment horizontal="right" vertical="top" shrinkToFit="1"/>
    </xf>
    <xf numFmtId="3" fontId="70" fillId="7" borderId="40" xfId="161" applyNumberFormat="1" applyFont="1" applyFill="1" applyBorder="1" applyAlignment="1">
      <alignment horizontal="right" vertical="top" shrinkToFit="1"/>
    </xf>
    <xf numFmtId="0" fontId="70" fillId="0" borderId="0" xfId="0" applyFont="1" applyAlignment="1">
      <alignment horizontal="left" vertical="top"/>
    </xf>
    <xf numFmtId="177" fontId="70" fillId="7" borderId="43" xfId="161" applyNumberFormat="1" applyFont="1" applyFill="1" applyBorder="1" applyAlignment="1">
      <alignment horizontal="center" vertical="top" shrinkToFit="1"/>
    </xf>
    <xf numFmtId="0" fontId="73" fillId="0" borderId="0" xfId="0" applyFont="1" applyAlignment="1">
      <alignment horizontal="left" vertical="top"/>
    </xf>
    <xf numFmtId="0" fontId="74" fillId="0" borderId="44" xfId="0" applyFont="1" applyBorder="1" applyAlignment="1">
      <alignment horizontal="left" vertical="top" wrapText="1"/>
    </xf>
    <xf numFmtId="0" fontId="74" fillId="0" borderId="41" xfId="0" applyFont="1" applyBorder="1" applyAlignment="1">
      <alignment horizontal="left" vertical="top" wrapText="1"/>
    </xf>
    <xf numFmtId="0" fontId="74" fillId="0" borderId="45" xfId="0" applyFont="1" applyBorder="1" applyAlignment="1">
      <alignment horizontal="left" vertical="top" wrapText="1"/>
    </xf>
    <xf numFmtId="0" fontId="105" fillId="0" borderId="0" xfId="0" applyFont="1" applyAlignment="1">
      <alignment horizontal="center" vertical="top"/>
    </xf>
    <xf numFmtId="0" fontId="70" fillId="0" borderId="0" xfId="0" applyFont="1" applyAlignment="1">
      <alignment horizontal="right" vertical="top"/>
    </xf>
    <xf numFmtId="0" fontId="70" fillId="0" borderId="0" xfId="0" applyFont="1" applyAlignment="1">
      <alignment horizontal="left" vertical="top" shrinkToFit="1"/>
    </xf>
    <xf numFmtId="177" fontId="62" fillId="7" borderId="44" xfId="161" applyNumberFormat="1" applyFont="1" applyFill="1" applyBorder="1" applyAlignment="1">
      <alignment horizontal="center" vertical="top" shrinkToFit="1"/>
    </xf>
    <xf numFmtId="177" fontId="62" fillId="7" borderId="41" xfId="161" applyNumberFormat="1" applyFont="1" applyFill="1" applyBorder="1" applyAlignment="1">
      <alignment horizontal="center" vertical="top" shrinkToFit="1"/>
    </xf>
    <xf numFmtId="177" fontId="62" fillId="7" borderId="45" xfId="161" applyNumberFormat="1" applyFont="1" applyFill="1" applyBorder="1" applyAlignment="1">
      <alignment horizontal="center" vertical="top" shrinkToFit="1"/>
    </xf>
    <xf numFmtId="0" fontId="72" fillId="0" borderId="0" xfId="0" applyFont="1" applyAlignment="1">
      <alignment horizontal="left" vertical="top" wrapText="1"/>
    </xf>
    <xf numFmtId="0" fontId="72" fillId="0" borderId="0" xfId="0" applyFont="1" applyAlignment="1">
      <alignment horizontal="left" vertical="top"/>
    </xf>
    <xf numFmtId="0" fontId="106" fillId="0" borderId="0" xfId="0" applyFont="1" applyAlignment="1">
      <alignment horizontal="left" vertical="top"/>
    </xf>
    <xf numFmtId="177" fontId="70" fillId="7" borderId="44" xfId="161" applyNumberFormat="1" applyFont="1" applyFill="1" applyBorder="1" applyAlignment="1">
      <alignment horizontal="center" vertical="top" shrinkToFit="1"/>
    </xf>
    <xf numFmtId="177" fontId="70" fillId="7" borderId="41" xfId="161" applyNumberFormat="1" applyFont="1" applyFill="1" applyBorder="1" applyAlignment="1">
      <alignment horizontal="center" vertical="top" shrinkToFit="1"/>
    </xf>
    <xf numFmtId="177" fontId="70" fillId="7" borderId="45" xfId="161" applyNumberFormat="1" applyFont="1" applyFill="1" applyBorder="1" applyAlignment="1">
      <alignment horizontal="center" vertical="top" shrinkToFit="1"/>
    </xf>
    <xf numFmtId="0" fontId="74" fillId="0" borderId="44" xfId="0" applyFont="1" applyBorder="1" applyAlignment="1">
      <alignment horizontal="center" vertical="top" wrapText="1"/>
    </xf>
    <xf numFmtId="0" fontId="74" fillId="0" borderId="41" xfId="0" applyFont="1" applyBorder="1" applyAlignment="1">
      <alignment horizontal="center" vertical="top" wrapText="1"/>
    </xf>
    <xf numFmtId="0" fontId="74" fillId="0" borderId="45" xfId="0" applyFont="1" applyBorder="1" applyAlignment="1">
      <alignment horizontal="center" vertical="top" wrapText="1"/>
    </xf>
    <xf numFmtId="0" fontId="62" fillId="7" borderId="44" xfId="161" applyFont="1" applyFill="1" applyBorder="1" applyAlignment="1">
      <alignment horizontal="center" vertical="top"/>
    </xf>
    <xf numFmtId="0" fontId="62" fillId="7" borderId="41" xfId="161" applyFont="1" applyFill="1" applyBorder="1" applyAlignment="1">
      <alignment horizontal="center" vertical="top"/>
    </xf>
    <xf numFmtId="0" fontId="62" fillId="7" borderId="45" xfId="161" applyFont="1" applyFill="1" applyBorder="1" applyAlignment="1">
      <alignment horizontal="center" vertical="top"/>
    </xf>
    <xf numFmtId="0" fontId="8" fillId="6" borderId="4" xfId="6" applyNumberFormat="1" applyFont="1" applyFill="1" applyBorder="1" applyAlignment="1">
      <alignment horizontal="center" vertical="center"/>
    </xf>
    <xf numFmtId="0" fontId="8" fillId="6" borderId="2" xfId="6" applyNumberFormat="1" applyFont="1" applyFill="1" applyBorder="1" applyAlignment="1">
      <alignment horizontal="center" vertical="center"/>
    </xf>
    <xf numFmtId="0" fontId="8" fillId="6" borderId="3" xfId="6" applyNumberFormat="1" applyFont="1" applyFill="1" applyBorder="1" applyAlignment="1">
      <alignment horizontal="center" vertical="center"/>
    </xf>
    <xf numFmtId="0" fontId="8" fillId="6" borderId="25" xfId="6" applyNumberFormat="1" applyFont="1" applyFill="1" applyBorder="1" applyAlignment="1">
      <alignment horizontal="center" vertical="center"/>
    </xf>
    <xf numFmtId="0" fontId="8" fillId="6" borderId="26" xfId="6" applyNumberFormat="1" applyFont="1" applyFill="1" applyBorder="1" applyAlignment="1">
      <alignment horizontal="center" vertical="center"/>
    </xf>
    <xf numFmtId="0" fontId="8" fillId="6" borderId="28" xfId="6" applyNumberFormat="1" applyFont="1" applyFill="1" applyBorder="1" applyAlignment="1">
      <alignment horizontal="center" vertical="center"/>
    </xf>
    <xf numFmtId="0" fontId="8" fillId="6" borderId="30" xfId="6" applyNumberFormat="1" applyFont="1" applyFill="1" applyBorder="1" applyAlignment="1">
      <alignment horizontal="center" vertical="center"/>
    </xf>
    <xf numFmtId="0" fontId="8" fillId="6" borderId="22" xfId="6" applyNumberFormat="1" applyFont="1" applyFill="1" applyBorder="1" applyAlignment="1">
      <alignment horizontal="left" vertical="center"/>
    </xf>
    <xf numFmtId="0" fontId="8" fillId="6" borderId="2" xfId="6" applyNumberFormat="1" applyFont="1" applyFill="1" applyBorder="1" applyAlignment="1">
      <alignment horizontal="left" vertical="center"/>
    </xf>
    <xf numFmtId="0" fontId="8" fillId="6" borderId="3" xfId="6" applyNumberFormat="1" applyFont="1" applyFill="1" applyBorder="1" applyAlignment="1">
      <alignment horizontal="left" vertical="center"/>
    </xf>
    <xf numFmtId="0" fontId="8" fillId="6" borderId="23" xfId="6" applyNumberFormat="1" applyFont="1" applyFill="1" applyBorder="1" applyAlignment="1">
      <alignment horizontal="left" vertical="center" shrinkToFit="1"/>
    </xf>
    <xf numFmtId="0" fontId="8" fillId="6" borderId="5" xfId="6" applyNumberFormat="1" applyFont="1" applyFill="1" applyBorder="1" applyAlignment="1">
      <alignment horizontal="left" vertical="center" shrinkToFit="1"/>
    </xf>
    <xf numFmtId="0" fontId="8" fillId="6" borderId="18" xfId="6" applyNumberFormat="1" applyFont="1" applyFill="1" applyBorder="1" applyAlignment="1">
      <alignment horizontal="left" vertical="center" shrinkToFit="1"/>
    </xf>
    <xf numFmtId="0" fontId="8" fillId="6" borderId="27" xfId="6" applyNumberFormat="1" applyFont="1" applyFill="1" applyBorder="1" applyAlignment="1">
      <alignment horizontal="center" vertical="center"/>
    </xf>
    <xf numFmtId="0" fontId="8" fillId="6" borderId="29" xfId="6" applyNumberFormat="1" applyFont="1" applyFill="1" applyBorder="1" applyAlignment="1">
      <alignment horizontal="left" vertical="center"/>
    </xf>
    <xf numFmtId="0" fontId="8" fillId="6" borderId="26" xfId="6" applyNumberFormat="1" applyFont="1" applyFill="1" applyBorder="1" applyAlignment="1">
      <alignment horizontal="left" vertical="center"/>
    </xf>
    <xf numFmtId="0" fontId="8" fillId="6" borderId="28" xfId="6" applyNumberFormat="1" applyFont="1" applyFill="1" applyBorder="1" applyAlignment="1">
      <alignment horizontal="left" vertical="center"/>
    </xf>
    <xf numFmtId="0" fontId="20" fillId="6" borderId="22" xfId="6" applyNumberFormat="1" applyFont="1" applyFill="1" applyBorder="1" applyAlignment="1">
      <alignment horizontal="left" vertical="center"/>
    </xf>
    <xf numFmtId="0" fontId="20" fillId="6" borderId="2" xfId="6" applyNumberFormat="1" applyFont="1" applyFill="1" applyBorder="1" applyAlignment="1">
      <alignment horizontal="left" vertical="center"/>
    </xf>
    <xf numFmtId="0" fontId="20" fillId="6" borderId="3" xfId="6" applyNumberFormat="1" applyFont="1" applyFill="1" applyBorder="1" applyAlignment="1">
      <alignment horizontal="left" vertical="center"/>
    </xf>
    <xf numFmtId="0" fontId="8" fillId="6" borderId="5" xfId="6" applyNumberFormat="1" applyFont="1" applyFill="1" applyBorder="1" applyAlignment="1">
      <alignment horizontal="center" vertical="center"/>
    </xf>
    <xf numFmtId="0" fontId="8" fillId="6" borderId="24" xfId="6" applyNumberFormat="1" applyFont="1" applyFill="1" applyBorder="1" applyAlignment="1">
      <alignment horizontal="center" vertical="center"/>
    </xf>
    <xf numFmtId="0" fontId="8" fillId="6" borderId="17" xfId="6" applyNumberFormat="1" applyFont="1" applyFill="1" applyBorder="1" applyAlignment="1">
      <alignment horizontal="center" vertical="center"/>
    </xf>
    <xf numFmtId="0" fontId="8" fillId="6" borderId="18" xfId="6" applyNumberFormat="1" applyFont="1" applyFill="1" applyBorder="1" applyAlignment="1">
      <alignment horizontal="center" vertical="center"/>
    </xf>
    <xf numFmtId="0" fontId="8" fillId="6" borderId="19" xfId="6" applyNumberFormat="1" applyFont="1" applyFill="1" applyBorder="1" applyAlignment="1">
      <alignment horizontal="center" vertical="center"/>
    </xf>
    <xf numFmtId="0" fontId="8" fillId="6" borderId="9" xfId="6" applyNumberFormat="1" applyFont="1" applyFill="1" applyBorder="1" applyAlignment="1">
      <alignment horizontal="center" vertical="center"/>
    </xf>
    <xf numFmtId="0" fontId="8" fillId="6" borderId="10" xfId="6" applyNumberFormat="1" applyFont="1" applyFill="1" applyBorder="1" applyAlignment="1">
      <alignment horizontal="center" vertical="center"/>
    </xf>
    <xf numFmtId="0" fontId="8" fillId="6" borderId="16" xfId="6" applyNumberFormat="1" applyFont="1" applyFill="1" applyBorder="1" applyAlignment="1">
      <alignment horizontal="center" vertical="center"/>
    </xf>
    <xf numFmtId="0" fontId="8" fillId="6" borderId="7" xfId="6" applyNumberFormat="1" applyFont="1" applyFill="1" applyBorder="1" applyAlignment="1">
      <alignment horizontal="center" vertical="center"/>
    </xf>
    <xf numFmtId="0" fontId="8" fillId="6" borderId="20" xfId="6" applyNumberFormat="1" applyFont="1" applyFill="1" applyBorder="1" applyAlignment="1">
      <alignment horizontal="center" vertical="center"/>
    </xf>
    <xf numFmtId="0" fontId="8" fillId="6" borderId="21" xfId="6" applyNumberFormat="1" applyFont="1" applyFill="1" applyBorder="1" applyAlignment="1">
      <alignment horizontal="center" vertical="center"/>
    </xf>
    <xf numFmtId="0" fontId="8" fillId="6" borderId="6" xfId="6" applyNumberFormat="1" applyFont="1" applyFill="1" applyBorder="1" applyAlignment="1">
      <alignment horizontal="center" vertical="center"/>
    </xf>
    <xf numFmtId="0" fontId="8" fillId="6" borderId="8" xfId="6" applyNumberFormat="1" applyFont="1" applyFill="1" applyBorder="1" applyAlignment="1">
      <alignment horizontal="center" vertical="center"/>
    </xf>
    <xf numFmtId="0" fontId="8" fillId="6" borderId="11" xfId="6" applyNumberFormat="1" applyFont="1" applyFill="1" applyBorder="1" applyAlignment="1">
      <alignment horizontal="center" vertical="center"/>
    </xf>
    <xf numFmtId="0" fontId="8" fillId="6" borderId="0" xfId="6" applyNumberFormat="1" applyFont="1" applyFill="1" applyBorder="1" applyAlignment="1">
      <alignment horizontal="center" vertical="center"/>
    </xf>
    <xf numFmtId="0" fontId="11" fillId="6" borderId="0" xfId="6" applyNumberFormat="1" applyFont="1" applyFill="1" applyAlignment="1">
      <alignment horizontal="center" vertical="center"/>
    </xf>
    <xf numFmtId="0" fontId="9" fillId="6" borderId="0" xfId="6" applyNumberFormat="1" applyFont="1" applyFill="1" applyAlignment="1">
      <alignment horizontal="center" vertical="center"/>
    </xf>
    <xf numFmtId="0" fontId="11" fillId="6" borderId="0" xfId="6" applyNumberFormat="1" applyFont="1" applyFill="1" applyAlignment="1">
      <alignment vertical="center" shrinkToFit="1"/>
    </xf>
    <xf numFmtId="0" fontId="11" fillId="6" borderId="0" xfId="6" applyNumberFormat="1" applyFont="1" applyFill="1" applyAlignment="1">
      <alignment vertical="center"/>
    </xf>
    <xf numFmtId="176" fontId="8" fillId="6" borderId="0" xfId="8" applyNumberFormat="1" applyFont="1" applyFill="1" applyBorder="1" applyAlignment="1">
      <alignment horizontal="right" vertical="center"/>
    </xf>
  </cellXfs>
  <cellStyles count="318">
    <cellStyle name="20% - Accent1" xfId="22" xr:uid="{00000000-0005-0000-0000-000000000000}"/>
    <cellStyle name="20% - Accent2" xfId="23" xr:uid="{00000000-0005-0000-0000-000001000000}"/>
    <cellStyle name="20% - Accent3" xfId="24" xr:uid="{00000000-0005-0000-0000-000002000000}"/>
    <cellStyle name="20% - Accent4" xfId="25" xr:uid="{00000000-0005-0000-0000-000003000000}"/>
    <cellStyle name="20% - Accent5" xfId="26" xr:uid="{00000000-0005-0000-0000-000004000000}"/>
    <cellStyle name="20% - Accent6" xfId="27" xr:uid="{00000000-0005-0000-0000-000005000000}"/>
    <cellStyle name="20% - 强调文字颜色 1" xfId="28" xr:uid="{00000000-0005-0000-0000-000006000000}"/>
    <cellStyle name="20% - 强调文字颜色 2" xfId="29" xr:uid="{00000000-0005-0000-0000-000007000000}"/>
    <cellStyle name="20% - 强调文字颜色 3" xfId="30" xr:uid="{00000000-0005-0000-0000-000008000000}"/>
    <cellStyle name="20% - 强调文字颜色 4" xfId="31" xr:uid="{00000000-0005-0000-0000-000009000000}"/>
    <cellStyle name="20% - 强调文字颜色 5" xfId="32" xr:uid="{00000000-0005-0000-0000-00000A000000}"/>
    <cellStyle name="20% - 强调文字颜色 6" xfId="33" xr:uid="{00000000-0005-0000-0000-00000B000000}"/>
    <cellStyle name="40% - Accent1" xfId="34" xr:uid="{00000000-0005-0000-0000-00000C000000}"/>
    <cellStyle name="40% - Accent2" xfId="35" xr:uid="{00000000-0005-0000-0000-00000D000000}"/>
    <cellStyle name="40% - Accent3" xfId="36" xr:uid="{00000000-0005-0000-0000-00000E000000}"/>
    <cellStyle name="40% - Accent4" xfId="37" xr:uid="{00000000-0005-0000-0000-00000F000000}"/>
    <cellStyle name="40% - Accent5" xfId="38" xr:uid="{00000000-0005-0000-0000-000010000000}"/>
    <cellStyle name="40% - Accent6" xfId="39" xr:uid="{00000000-0005-0000-0000-000011000000}"/>
    <cellStyle name="40% - 强调文字颜色 1" xfId="40" xr:uid="{00000000-0005-0000-0000-000012000000}"/>
    <cellStyle name="40% - 强调文字颜色 2" xfId="41" xr:uid="{00000000-0005-0000-0000-000013000000}"/>
    <cellStyle name="40% - 强调文字颜色 3" xfId="42" xr:uid="{00000000-0005-0000-0000-000014000000}"/>
    <cellStyle name="40% - 强调文字颜色 4" xfId="43" xr:uid="{00000000-0005-0000-0000-000015000000}"/>
    <cellStyle name="40% - 强调文字颜色 5" xfId="44" xr:uid="{00000000-0005-0000-0000-000016000000}"/>
    <cellStyle name="40% - 强调文字颜色 6" xfId="45" xr:uid="{00000000-0005-0000-0000-000017000000}"/>
    <cellStyle name="60% - Accent1" xfId="46" xr:uid="{00000000-0005-0000-0000-000018000000}"/>
    <cellStyle name="60% - Accent2" xfId="47" xr:uid="{00000000-0005-0000-0000-000019000000}"/>
    <cellStyle name="60% - Accent3" xfId="48" xr:uid="{00000000-0005-0000-0000-00001A000000}"/>
    <cellStyle name="60% - Accent4" xfId="49" xr:uid="{00000000-0005-0000-0000-00001B000000}"/>
    <cellStyle name="60% - Accent5" xfId="50" xr:uid="{00000000-0005-0000-0000-00001C000000}"/>
    <cellStyle name="60% - Accent6" xfId="51" xr:uid="{00000000-0005-0000-0000-00001D000000}"/>
    <cellStyle name="60% - 强调文字颜色 1" xfId="52" xr:uid="{00000000-0005-0000-0000-00001E000000}"/>
    <cellStyle name="60% - 强调文字颜色 2" xfId="53" xr:uid="{00000000-0005-0000-0000-00001F000000}"/>
    <cellStyle name="60% - 强调文字颜色 3" xfId="54" xr:uid="{00000000-0005-0000-0000-000020000000}"/>
    <cellStyle name="60% - 强调文字颜色 4" xfId="55" xr:uid="{00000000-0005-0000-0000-000021000000}"/>
    <cellStyle name="60% - 强调文字颜色 5" xfId="56" xr:uid="{00000000-0005-0000-0000-000022000000}"/>
    <cellStyle name="60% - 强调文字颜色 6" xfId="57" xr:uid="{00000000-0005-0000-0000-000023000000}"/>
    <cellStyle name="Accent1" xfId="58" xr:uid="{00000000-0005-0000-0000-000024000000}"/>
    <cellStyle name="Accent2" xfId="59" xr:uid="{00000000-0005-0000-0000-000025000000}"/>
    <cellStyle name="Accent3" xfId="60" xr:uid="{00000000-0005-0000-0000-000026000000}"/>
    <cellStyle name="Accent4" xfId="61" xr:uid="{00000000-0005-0000-0000-000027000000}"/>
    <cellStyle name="Accent5" xfId="62" xr:uid="{00000000-0005-0000-0000-000028000000}"/>
    <cellStyle name="Accent6" xfId="63" xr:uid="{00000000-0005-0000-0000-000029000000}"/>
    <cellStyle name="Bad" xfId="64" xr:uid="{00000000-0005-0000-0000-00002A000000}"/>
    <cellStyle name="Calculation" xfId="65" xr:uid="{00000000-0005-0000-0000-00002B000000}"/>
    <cellStyle name="Check Cell" xfId="66" xr:uid="{00000000-0005-0000-0000-00002C000000}"/>
    <cellStyle name="Explanatory Text" xfId="67" xr:uid="{00000000-0005-0000-0000-00002D000000}"/>
    <cellStyle name="Good" xfId="68" xr:uid="{00000000-0005-0000-0000-00002E000000}"/>
    <cellStyle name="Heading 1" xfId="69" xr:uid="{00000000-0005-0000-0000-00002F000000}"/>
    <cellStyle name="Heading 2" xfId="70" xr:uid="{00000000-0005-0000-0000-000030000000}"/>
    <cellStyle name="Heading 3" xfId="71" xr:uid="{00000000-0005-0000-0000-000031000000}"/>
    <cellStyle name="Heading 4" xfId="72" xr:uid="{00000000-0005-0000-0000-000032000000}"/>
    <cellStyle name="Input" xfId="73" xr:uid="{00000000-0005-0000-0000-000033000000}"/>
    <cellStyle name="Linked Cell" xfId="74" xr:uid="{00000000-0005-0000-0000-000034000000}"/>
    <cellStyle name="Neutral" xfId="75" xr:uid="{00000000-0005-0000-0000-000035000000}"/>
    <cellStyle name="Normal_corus" xfId="1" xr:uid="{00000000-0005-0000-0000-000036000000}"/>
    <cellStyle name="Note" xfId="76" xr:uid="{00000000-0005-0000-0000-000037000000}"/>
    <cellStyle name="Output" xfId="77" xr:uid="{00000000-0005-0000-0000-000038000000}"/>
    <cellStyle name="Title" xfId="78" xr:uid="{00000000-0005-0000-0000-000039000000}"/>
    <cellStyle name="Total" xfId="79" xr:uid="{00000000-0005-0000-0000-00003A000000}"/>
    <cellStyle name="Warning Text" xfId="80" xr:uid="{00000000-0005-0000-0000-00003B000000}"/>
    <cellStyle name="一般" xfId="0" builtinId="0"/>
    <cellStyle name="一般 2" xfId="2" xr:uid="{00000000-0005-0000-0000-00003D000000}"/>
    <cellStyle name="一般 2 2" xfId="154" xr:uid="{00000000-0005-0000-0000-00003E000000}"/>
    <cellStyle name="一般 2 2 2" xfId="155" xr:uid="{00000000-0005-0000-0000-00003F000000}"/>
    <cellStyle name="一般 2 3" xfId="156" xr:uid="{00000000-0005-0000-0000-000040000000}"/>
    <cellStyle name="一般 2_OGC-1180422-OCEAN SEDNA-(ALKYLATE)-SIETCO-TEST" xfId="157" xr:uid="{00000000-0005-0000-0000-000041000000}"/>
    <cellStyle name="一般 3" xfId="81" xr:uid="{00000000-0005-0000-0000-000042000000}"/>
    <cellStyle name="一般 3 2" xfId="158" xr:uid="{00000000-0005-0000-0000-000043000000}"/>
    <cellStyle name="一般 3_OGC-1180422-OCEAN SEDNA-(ALKYLATE)-SIETCO-TEST" xfId="159" xr:uid="{00000000-0005-0000-0000-000044000000}"/>
    <cellStyle name="一般 4" xfId="82" xr:uid="{00000000-0005-0000-0000-000045000000}"/>
    <cellStyle name="一般 5" xfId="160" xr:uid="{00000000-0005-0000-0000-000046000000}"/>
    <cellStyle name="一般 6" xfId="161" xr:uid="{00000000-0005-0000-0000-000047000000}"/>
    <cellStyle name="一般_ETHYLENE " xfId="3" xr:uid="{00000000-0005-0000-0000-00004D000000}"/>
    <cellStyle name="一般_ETHYLENE _OGC038142" xfId="4" xr:uid="{00000000-0005-0000-0000-00004E000000}"/>
    <cellStyle name="一般_TA-LIN-PU" xfId="5" xr:uid="{00000000-0005-0000-0000-000057000000}"/>
    <cellStyle name="一般_母檔 2009 02 27" xfId="6" xr:uid="{00000000-0005-0000-0000-000063000000}"/>
    <cellStyle name="千分位" xfId="317" builtinId="3"/>
    <cellStyle name="千分位 2" xfId="7" xr:uid="{00000000-0005-0000-0000-000067000000}"/>
    <cellStyle name="千分位 3" xfId="83" xr:uid="{00000000-0005-0000-0000-000068000000}"/>
    <cellStyle name="千分位 4" xfId="153" xr:uid="{00000000-0005-0000-0000-000069000000}"/>
    <cellStyle name="千分位[0]" xfId="8" builtinId="6"/>
    <cellStyle name="千分位[0] 2" xfId="232" xr:uid="{00000000-0005-0000-0000-00006B000000}"/>
    <cellStyle name="千分位_母檔 2009 02 27" xfId="9" xr:uid="{00000000-0005-0000-0000-00006D000000}"/>
    <cellStyle name="计算" xfId="151" xr:uid="{00000000-0005-0000-0000-00006E000000}"/>
    <cellStyle name="汇总" xfId="150" xr:uid="{00000000-0005-0000-0000-00006F000000}"/>
    <cellStyle name="好_070718 Fortune Victoia-B" xfId="84" xr:uid="{00000000-0005-0000-0000-000070000000}"/>
    <cellStyle name="好_0980291-OCEAN GLOBE (version 1)" xfId="85" xr:uid="{00000000-0005-0000-0000-000071000000}"/>
    <cellStyle name="好_0980295 FORMOSA FOUR (新版) MTBE 090324" xfId="86" xr:uid="{00000000-0005-0000-0000-000072000000}"/>
    <cellStyle name="好_11" xfId="162" xr:uid="{00000000-0005-0000-0000-000073000000}"/>
    <cellStyle name="好_500N-COA-SC QINGDAO (3)" xfId="163" xr:uid="{00000000-0005-0000-0000-000074000000}"/>
    <cellStyle name="好_AA 母檔kAOHSIUNG" xfId="164" xr:uid="{00000000-0005-0000-0000-000075000000}"/>
    <cellStyle name="好_ACETONE 2009 11 05" xfId="165" xr:uid="{00000000-0005-0000-0000-000076000000}"/>
    <cellStyle name="好_Acetone 2009 11 10" xfId="166" xr:uid="{00000000-0005-0000-0000-000077000000}"/>
    <cellStyle name="好_Acetone 2009 11 10_Ethylene 2010 01 12" xfId="167" xr:uid="{00000000-0005-0000-0000-000078000000}"/>
    <cellStyle name="好_Acetone 2009 11 10_LPG母檔(C3&amp;C4)-V.2010-02-10" xfId="168" xr:uid="{00000000-0005-0000-0000-000079000000}"/>
    <cellStyle name="好_Acetone 2010 05 01" xfId="169" xr:uid="{00000000-0005-0000-0000-00007A000000}"/>
    <cellStyle name="好_AN 2011 04 15" xfId="170" xr:uid="{00000000-0005-0000-0000-00007B000000}"/>
    <cellStyle name="好_BCS 2009 09 18" xfId="233" xr:uid="{00000000-0005-0000-0000-00007C000000}"/>
    <cellStyle name="好_BCS 母檔 2008 10 25" xfId="10" xr:uid="{00000000-0005-0000-0000-00007D000000}"/>
    <cellStyle name="好_COA- OGC-1080354-CHAMPOIL" xfId="171" xr:uid="{00000000-0005-0000-0000-00007E000000}"/>
    <cellStyle name="好_COA-Blending_Parcel" xfId="172" xr:uid="{00000000-0005-0000-0000-00007F000000}"/>
    <cellStyle name="好_COA-OGC 1081249-NORD INDEPENDENCE-ALKYLATE-VITOL" xfId="173" xr:uid="{00000000-0005-0000-0000-000080000000}"/>
    <cellStyle name="好_COA-OGC 1081400-ZHONGJI NO(1).1-GASOLINE 88 RON UNLEADED" xfId="174" xr:uid="{00000000-0005-0000-0000-000081000000}"/>
    <cellStyle name="好_COA-PFO(1)" xfId="175" xr:uid="{00000000-0005-0000-0000-000082000000}"/>
    <cellStyle name="好_COVER" xfId="87" xr:uid="{00000000-0005-0000-0000-000083000000}"/>
    <cellStyle name="好_COVER(1)" xfId="88" xr:uid="{00000000-0005-0000-0000-000084000000}"/>
    <cellStyle name="好_Crane Poseidon 08 09 19 (SKNET) OGC-088 1151" xfId="11" xr:uid="{00000000-0005-0000-0000-000085000000}"/>
    <cellStyle name="好_Crude Oil 2011 08 26" xfId="176" xr:uid="{00000000-0005-0000-0000-000086000000}"/>
    <cellStyle name="好_DOP &amp; DINP 2009 10 05" xfId="234" xr:uid="{00000000-0005-0000-0000-000087000000}"/>
    <cellStyle name="好_Ethylene 2010 01 12" xfId="177" xr:uid="{00000000-0005-0000-0000-000088000000}"/>
    <cellStyle name="好_LPG母檔(C3&amp;C4)-V.2010-02-10" xfId="178" xr:uid="{00000000-0005-0000-0000-000089000000}"/>
    <cellStyle name="好_MAY-19-2008 TROCHUS OGC-0880601" xfId="89" xr:uid="{00000000-0005-0000-0000-00008A000000}"/>
    <cellStyle name="好_MEG 母檔 2008 12  04" xfId="277" xr:uid="{00000000-0005-0000-0000-00008B000000}"/>
    <cellStyle name="好_OGC 1081479 AB SC QINGDAO (Twmit) MEG 1223" xfId="90" xr:uid="{00000000-0005-0000-0000-00008C000000}"/>
    <cellStyle name="好_OGC-0880210-ROYAL EMERALD-MEG-TWMIT" xfId="91" xr:uid="{00000000-0005-0000-0000-00008D000000}"/>
    <cellStyle name="好_OGC-0880534AB SPRING LYRA-Soda -FPCUSA" xfId="92" xr:uid="{00000000-0005-0000-0000-00008E000000}"/>
    <cellStyle name="好_OGC-0880834-STOLT SINCERITY-2EHA-GANTRADE" xfId="93" xr:uid="{00000000-0005-0000-0000-00008F000000}"/>
    <cellStyle name="好_OGC-0880911-ASIANAN SAMBU-AN-FPC" xfId="179" xr:uid="{00000000-0005-0000-0000-000090000000}"/>
    <cellStyle name="好_OGC-0881381AC-ASUKA-SM-FCFC" xfId="180" xr:uid="{00000000-0005-0000-0000-000091000000}"/>
    <cellStyle name="好_OGC-0980036-SAMHO RUBE MTBE0128" xfId="181" xr:uid="{00000000-0005-0000-0000-000092000000}"/>
    <cellStyle name="好_OGC-0980264-SETYAWATI-SM-FCFC" xfId="278" xr:uid="{00000000-0005-0000-0000-000093000000}"/>
    <cellStyle name="好_OGC-0980281-PUSPAWATI-DEG-KC" xfId="94" xr:uid="{00000000-0005-0000-0000-000094000000}"/>
    <cellStyle name="好_OGC-0980307-KANG YUN-(CPC)-ALKYLATE-0325" xfId="95" xr:uid="{00000000-0005-0000-0000-000095000000}"/>
    <cellStyle name="好_OGC-0980355 TORM KANSAS(ALKYLATE)-BP" xfId="96" xr:uid="{00000000-0005-0000-0000-000096000000}"/>
    <cellStyle name="好_OGC-0980396-SETYAWATI-SM-FCFC" xfId="279" xr:uid="{00000000-0005-0000-0000-000097000000}"/>
    <cellStyle name="好_OGC-0980497 XUE SONG -MEG(FOMEA) 20090509" xfId="280" xr:uid="{00000000-0005-0000-0000-000098000000}"/>
    <cellStyle name="好_OGC-0980497-XUE SONG-MEG-FOMEA" xfId="97" xr:uid="{00000000-0005-0000-0000-000099000000}"/>
    <cellStyle name="好_OGC-0980540-A-PRITA DEWI-DEG-DELTEC" xfId="98" xr:uid="{00000000-0005-0000-0000-00009A000000}"/>
    <cellStyle name="好_OGC-0980611AB-SAMHO ONYX-SM-LOWI (2)" xfId="182" xr:uid="{00000000-0005-0000-0000-00009B000000}"/>
    <cellStyle name="好_OGC-0980729-STOLT MEGAMI-BA-GANTRADE-EUROPE" xfId="281" xr:uid="{00000000-0005-0000-0000-00009C000000}"/>
    <cellStyle name="好_OGC-0980863-A-SAMHO SAPPHIRE-DEG-DELTEC" xfId="99" xr:uid="{00000000-0005-0000-0000-00009D000000}"/>
    <cellStyle name="好_OGC-0980917-STOLT INNOVATION-BA-GANTRAE EUROPE" xfId="282" xr:uid="{00000000-0005-0000-0000-00009E000000}"/>
    <cellStyle name="好_OGC-0981048-SUNNY DREAM-DEG-DELTEC" xfId="100" xr:uid="{00000000-0005-0000-0000-00009F000000}"/>
    <cellStyle name="好_OGC-0981068-SETYAWATI-MEG-KINTU" xfId="101" xr:uid="{00000000-0005-0000-0000-0000A0000000}"/>
    <cellStyle name="好_OGC-0981073 MOUNTAIN BLOSSOM-SODA-BCS-20090903" xfId="183" xr:uid="{00000000-0005-0000-0000-0000A1000000}"/>
    <cellStyle name="好_OGC-0981170-WOO HYEON-AN-FPC" xfId="184" xr:uid="{00000000-0005-0000-0000-0000A2000000}"/>
    <cellStyle name="好_OGC-0981216-CHEMROUTE BRILLIANT-PHENOL-FCFC" xfId="283" xr:uid="{00000000-0005-0000-0000-0000A3000000}"/>
    <cellStyle name="好_OGC-0981310-GLOBAL CHALLENGE-PHENOL-FCFC" xfId="284" xr:uid="{00000000-0005-0000-0000-0000A4000000}"/>
    <cellStyle name="好_OGC-0981323-ACACIA-BA-FPC" xfId="235" xr:uid="{00000000-0005-0000-0000-0000A5000000}"/>
    <cellStyle name="好_OGC-0981371 BOW DE FENG-MEG-ITOCC-20091122" xfId="185" xr:uid="{00000000-0005-0000-0000-0000A6000000}"/>
    <cellStyle name="好_OGC-0981570-NO.2 HEUNG-A PIONEER-PHENOL-FCFC" xfId="285" xr:uid="{00000000-0005-0000-0000-0000A7000000}"/>
    <cellStyle name="好_OGC-1080032-AGILITY-BA-FPC" xfId="236" xr:uid="{00000000-0005-0000-0000-0000A8000000}"/>
    <cellStyle name="好_OGC-1080050 NEW MIGHTY-BASE OIL 150N-WINSON-20100202" xfId="186" xr:uid="{00000000-0005-0000-0000-0000A9000000}"/>
    <cellStyle name="好_OGC-1080207 B-CAPRIOLE-BA (FPC) 2010 02 18" xfId="237" xr:uid="{00000000-0005-0000-0000-0000AA000000}"/>
    <cellStyle name="好_OGC-1080207A-CAPRIOLE-BA-FPC" xfId="238" xr:uid="{00000000-0005-0000-0000-0000AB000000}"/>
    <cellStyle name="好_OGC-1080207B-CAPRIOLE-BA-FPC" xfId="239" xr:uid="{00000000-0005-0000-0000-0000AC000000}"/>
    <cellStyle name="好_OGC-1080304-ORIENTAL ROSE-BA-FPC" xfId="240" xr:uid="{00000000-0005-0000-0000-0000AD000000}"/>
    <cellStyle name="好_OGC-1080444-ERRIA IDA-BA-FPC" xfId="241" xr:uid="{00000000-0005-0000-0000-0000AE000000}"/>
    <cellStyle name="好_OGC-1080851-GINGA CHEETAH-BA-FPC" xfId="242" xr:uid="{00000000-0005-0000-0000-0000AF000000}"/>
    <cellStyle name="好_OGC-1080974-GLOBAL MOON-BA-FPC" xfId="243" xr:uid="{00000000-0005-0000-0000-0000B0000000}"/>
    <cellStyle name="好_OGC-1081150-GINGA COUGAR-PHENOL-FCFC" xfId="286" xr:uid="{00000000-0005-0000-0000-0000B1000000}"/>
    <cellStyle name="好_OGC-1081223-CRANE PLANET-ACETONE-LENSO" xfId="287" xr:uid="{00000000-0005-0000-0000-0000B2000000}"/>
    <cellStyle name="好_OGC-1081293-KY VENUS-PHENOL-FCFC" xfId="288" xr:uid="{00000000-0005-0000-0000-0000B3000000}"/>
    <cellStyle name="好_OGC-1180163 NAKSKOV MAERSK-llGASOIL 0.05%S-TOTSA" xfId="187" xr:uid="{00000000-0005-0000-0000-0000B4000000}"/>
    <cellStyle name="好_OGC-1180219-MALHARI-PHENOL-FCFC" xfId="289" xr:uid="{00000000-0005-0000-0000-0000B5000000}"/>
    <cellStyle name="好_OGC-1180255-ORIENTAL ROSE-BA-FPC" xfId="244" xr:uid="{00000000-0005-0000-0000-0000B6000000}"/>
    <cellStyle name="好_OGC-1180628-CAPRIOLE-BA-FPC" xfId="245" xr:uid="{00000000-0005-0000-0000-0000B7000000}"/>
    <cellStyle name="好_OGC-1180680-BOW MATE-AN-FPC" xfId="188" xr:uid="{00000000-0005-0000-0000-0000B8000000}"/>
    <cellStyle name="好_OGC-1180696-NEELAMBARI-PHENOL-FCFC" xfId="290" xr:uid="{00000000-0005-0000-0000-0000B9000000}"/>
    <cellStyle name="好_OGC-1180721-CHEMSTAR-BA-FPC" xfId="246" xr:uid="{00000000-0005-0000-0000-0000BA000000}"/>
    <cellStyle name="好_OGC-1180793-ROYAL PERIDOT-PHENOL-FCFC" xfId="291" xr:uid="{00000000-0005-0000-0000-0000BB000000}"/>
    <cellStyle name="好_OGC-1180832-AS OMARIA-BA-FPC" xfId="247" xr:uid="{00000000-0005-0000-0000-0000BC000000}"/>
    <cellStyle name="好_OGC-1180841-GOLDEN DOMINANCE-ACETONE-CHEMNEWS(IRAN)" xfId="292" xr:uid="{00000000-0005-0000-0000-0000BD000000}"/>
    <cellStyle name="好_OGC-1180853-CONSTANCY-PHENOL-SUMITOMO" xfId="293" xr:uid="{00000000-0005-0000-0000-0000BE000000}"/>
    <cellStyle name="好_OGC-1180907-CRANE PLANET-BA-FPC" xfId="248" xr:uid="{00000000-0005-0000-0000-0000BF000000}"/>
    <cellStyle name="好_OGC-1180922-CAPRIOLE-PHENOL-FCFC" xfId="294" xr:uid="{00000000-0005-0000-0000-0000C0000000}"/>
    <cellStyle name="好_OGC-1180932-CAPRIOLE-PHENOL-CHEMNEWS(IRAN)" xfId="295" xr:uid="{00000000-0005-0000-0000-0000C1000000}"/>
    <cellStyle name="好_OGC-1180955B-DL CLOVER-BA-FPC" xfId="249" xr:uid="{00000000-0005-0000-0000-0000C2000000}"/>
    <cellStyle name="好_OGC-1181005-KY VENUS-PHENOL-FCFC" xfId="296" xr:uid="{00000000-0005-0000-0000-0000C3000000}"/>
    <cellStyle name="好_OGC-1181051-DL VIOLET-BA-FPC" xfId="250" xr:uid="{00000000-0005-0000-0000-0000C4000000}"/>
    <cellStyle name="好_P 數量" xfId="251" xr:uid="{00000000-0005-0000-0000-0000C5000000}"/>
    <cellStyle name="好_P 數量 2010 05 01" xfId="189" xr:uid="{00000000-0005-0000-0000-0000C6000000}"/>
    <cellStyle name="好_P 驗艙 2010 05 01" xfId="252" xr:uid="{00000000-0005-0000-0000-0000C7000000}"/>
    <cellStyle name="好_P 驗艙 甲板驗" xfId="253" xr:uid="{00000000-0005-0000-0000-0000C8000000}"/>
    <cellStyle name="好_SODA TRICON 2010 04 01" xfId="254" xr:uid="{00000000-0005-0000-0000-0000C9000000}"/>
    <cellStyle name="好_UPDATE1_-OGC_1081248-NORD_INDEPENDENCE-GASOLINE_93-VITOL" xfId="190" xr:uid="{00000000-0005-0000-0000-0000CA000000}"/>
    <cellStyle name="好_UPDATES OGC-0980252 AN YUN (MTBE)-CPC" xfId="102" xr:uid="{00000000-0005-0000-0000-0000CB000000}"/>
    <cellStyle name="好_UPDATES OGC-0980295 FORMOSA FOUR(MTBE)-CPC" xfId="103" xr:uid="{00000000-0005-0000-0000-0000CC000000}"/>
    <cellStyle name="好_UPDATES OGC-0981391 SC GUANGZHOU(BASE OIL 150N)-CHAMPOIL" xfId="191" xr:uid="{00000000-0005-0000-0000-0000CD000000}"/>
    <cellStyle name="好_UPDATES OGC-1080221-SC VENUS(BASE OIL150N)" xfId="192" xr:uid="{00000000-0005-0000-0000-0000CE000000}"/>
    <cellStyle name="好_UPDATES OGC-1080222-SC VENUS(BASE OIL500N)" xfId="193" xr:uid="{00000000-0005-0000-0000-0000CF000000}"/>
    <cellStyle name="好_UPDATES_OGC-0980134_GINGA_PHOENIX_(MTBE)(1)" xfId="194" xr:uid="{00000000-0005-0000-0000-0000D0000000}"/>
    <cellStyle name="好_VINASHIN VICTORY(1) 93 OGC-0980238 MARCH-03-2009" xfId="104" xr:uid="{00000000-0005-0000-0000-0000D1000000}"/>
    <cellStyle name="好_工作日誌991206" xfId="105" xr:uid="{00000000-0005-0000-0000-0000D2000000}"/>
    <cellStyle name="好_母檔" xfId="106" xr:uid="{00000000-0005-0000-0000-0000D3000000}"/>
    <cellStyle name="好_母檔 2009 02 27" xfId="12" xr:uid="{00000000-0005-0000-0000-0000D4000000}"/>
    <cellStyle name="百分比 2" xfId="13" xr:uid="{00000000-0005-0000-0000-0000D6000000}"/>
    <cellStyle name="百分比 2 2" xfId="195" xr:uid="{00000000-0005-0000-0000-0000D7000000}"/>
    <cellStyle name="百分比 3" xfId="196" xr:uid="{00000000-0005-0000-0000-0000D8000000}"/>
    <cellStyle name="注释" xfId="107" xr:uid="{00000000-0005-0000-0000-0000D9000000}"/>
    <cellStyle name="标题" xfId="144" xr:uid="{00000000-0005-0000-0000-0000DA000000}"/>
    <cellStyle name="标题 1" xfId="145" xr:uid="{00000000-0005-0000-0000-0000DB000000}"/>
    <cellStyle name="标题 2" xfId="146" xr:uid="{00000000-0005-0000-0000-0000DC000000}"/>
    <cellStyle name="标题 3" xfId="147" xr:uid="{00000000-0005-0000-0000-0000DD000000}"/>
    <cellStyle name="标题 4" xfId="148" xr:uid="{00000000-0005-0000-0000-0000DE000000}"/>
    <cellStyle name="差" xfId="108" xr:uid="{00000000-0005-0000-0000-0000DF000000}"/>
    <cellStyle name="桁区切り [0.00]_STS 1" xfId="14" xr:uid="{00000000-0005-0000-0000-0000E0000000}"/>
    <cellStyle name="桁区切り_STS 1" xfId="15" xr:uid="{00000000-0005-0000-0000-0000E1000000}"/>
    <cellStyle name="适中" xfId="109" xr:uid="{00000000-0005-0000-0000-0000E2000000}"/>
    <cellStyle name="检查单元格" xfId="149" xr:uid="{00000000-0005-0000-0000-0000E3000000}"/>
    <cellStyle name="通貨 [0.00]_STS 1" xfId="16" xr:uid="{00000000-0005-0000-0000-0000E4000000}"/>
    <cellStyle name="通貨_STS 1" xfId="17" xr:uid="{00000000-0005-0000-0000-0000E5000000}"/>
    <cellStyle name="强调文字颜色 1" xfId="110" xr:uid="{00000000-0005-0000-0000-0000E6000000}"/>
    <cellStyle name="强调文字颜色 2" xfId="111" xr:uid="{00000000-0005-0000-0000-0000E7000000}"/>
    <cellStyle name="强调文字颜色 3" xfId="112" xr:uid="{00000000-0005-0000-0000-0000E8000000}"/>
    <cellStyle name="强调文字颜色 4" xfId="113" xr:uid="{00000000-0005-0000-0000-0000E9000000}"/>
    <cellStyle name="强调文字颜色 5" xfId="114" xr:uid="{00000000-0005-0000-0000-0000EA000000}"/>
    <cellStyle name="强调文字颜色 6" xfId="115" xr:uid="{00000000-0005-0000-0000-0000EB000000}"/>
    <cellStyle name="超連結 2" xfId="197" xr:uid="{00000000-0005-0000-0000-0000ED000000}"/>
    <cellStyle name="超連結 3" xfId="231" xr:uid="{00000000-0005-0000-0000-0000EE000000}"/>
    <cellStyle name="链接单元格" xfId="152" xr:uid="{00000000-0005-0000-0000-0000EF000000}"/>
    <cellStyle name="解释性文本" xfId="116" xr:uid="{00000000-0005-0000-0000-0000F0000000}"/>
    <cellStyle name="输入" xfId="117" xr:uid="{00000000-0005-0000-0000-0000F1000000}"/>
    <cellStyle name="输出" xfId="118" xr:uid="{00000000-0005-0000-0000-0000F2000000}"/>
    <cellStyle name="標準_CONTENTS" xfId="18" xr:uid="{00000000-0005-0000-0000-0000F3000000}"/>
    <cellStyle name="隨後的超連結_189-00036-03 (K-1)" xfId="119" xr:uid="{00000000-0005-0000-0000-0000F4000000}"/>
    <cellStyle name="壞_070718 Fortune Victoia-B" xfId="120" xr:uid="{00000000-0005-0000-0000-0000F5000000}"/>
    <cellStyle name="壞_0980291-OCEAN GLOBE (version 1)" xfId="121" xr:uid="{00000000-0005-0000-0000-0000F6000000}"/>
    <cellStyle name="壞_0980295 FORMOSA FOUR (新版) MTBE 090324" xfId="122" xr:uid="{00000000-0005-0000-0000-0000F7000000}"/>
    <cellStyle name="壞_11" xfId="198" xr:uid="{00000000-0005-0000-0000-0000F8000000}"/>
    <cellStyle name="壞_500N-COA-SC QINGDAO (3)" xfId="199" xr:uid="{00000000-0005-0000-0000-0000F9000000}"/>
    <cellStyle name="壞_AA 母檔kAOHSIUNG" xfId="200" xr:uid="{00000000-0005-0000-0000-0000FA000000}"/>
    <cellStyle name="壞_ACETONE 2009 11 05" xfId="201" xr:uid="{00000000-0005-0000-0000-0000FB000000}"/>
    <cellStyle name="壞_Acetone 2009 11 10" xfId="202" xr:uid="{00000000-0005-0000-0000-0000FC000000}"/>
    <cellStyle name="壞_Acetone 2009 11 10_Ethylene 2010 01 12" xfId="203" xr:uid="{00000000-0005-0000-0000-0000FD000000}"/>
    <cellStyle name="壞_Acetone 2009 11 10_LPG母檔(C3&amp;C4)-V.2010-02-10" xfId="204" xr:uid="{00000000-0005-0000-0000-0000FE000000}"/>
    <cellStyle name="壞_Acetone 2010 05 01" xfId="205" xr:uid="{00000000-0005-0000-0000-0000FF000000}"/>
    <cellStyle name="壞_AN 2011 04 15" xfId="206" xr:uid="{00000000-0005-0000-0000-000000010000}"/>
    <cellStyle name="壞_BCS 2009 09 18" xfId="255" xr:uid="{00000000-0005-0000-0000-000001010000}"/>
    <cellStyle name="壞_BCS 母檔 2008 10 25" xfId="19" xr:uid="{00000000-0005-0000-0000-000002010000}"/>
    <cellStyle name="壞_COA- OGC-1080354-CHAMPOIL" xfId="207" xr:uid="{00000000-0005-0000-0000-000003010000}"/>
    <cellStyle name="壞_COA-Blending_Parcel" xfId="208" xr:uid="{00000000-0005-0000-0000-000004010000}"/>
    <cellStyle name="壞_COA-OGC 1081249-NORD INDEPENDENCE-ALKYLATE-VITOL" xfId="209" xr:uid="{00000000-0005-0000-0000-000005010000}"/>
    <cellStyle name="壞_COA-OGC 1081400-ZHONGJI NO(1).1-GASOLINE 88 RON UNLEADED" xfId="210" xr:uid="{00000000-0005-0000-0000-000006010000}"/>
    <cellStyle name="壞_COA-PFO(1)" xfId="211" xr:uid="{00000000-0005-0000-0000-000007010000}"/>
    <cellStyle name="壞_COVER" xfId="123" xr:uid="{00000000-0005-0000-0000-000008010000}"/>
    <cellStyle name="壞_COVER(1)" xfId="124" xr:uid="{00000000-0005-0000-0000-000009010000}"/>
    <cellStyle name="壞_Crane Poseidon 08 09 19 (SKNET) OGC-088 1151" xfId="20" xr:uid="{00000000-0005-0000-0000-00000A010000}"/>
    <cellStyle name="壞_Crude Oil 2011 08 26" xfId="212" xr:uid="{00000000-0005-0000-0000-00000B010000}"/>
    <cellStyle name="壞_DOP &amp; DINP 2009 10 05" xfId="256" xr:uid="{00000000-0005-0000-0000-00000C010000}"/>
    <cellStyle name="壞_Ethylene 2010 01 12" xfId="213" xr:uid="{00000000-0005-0000-0000-00000D010000}"/>
    <cellStyle name="壞_LPG母檔(C3&amp;C4)-V.2010-02-10" xfId="214" xr:uid="{00000000-0005-0000-0000-00000E010000}"/>
    <cellStyle name="壞_MAY-19-2008 TROCHUS OGC-0880601" xfId="125" xr:uid="{00000000-0005-0000-0000-00000F010000}"/>
    <cellStyle name="壞_MEG 母檔 2008 12  04" xfId="297" xr:uid="{00000000-0005-0000-0000-000010010000}"/>
    <cellStyle name="壞_OGC 1081479 AB SC QINGDAO (Twmit) MEG 1223" xfId="126" xr:uid="{00000000-0005-0000-0000-000011010000}"/>
    <cellStyle name="壞_OGC-0880210-ROYAL EMERALD-MEG-TWMIT" xfId="127" xr:uid="{00000000-0005-0000-0000-000012010000}"/>
    <cellStyle name="壞_OGC-0880534AB SPRING LYRA-Soda -FPCUSA" xfId="128" xr:uid="{00000000-0005-0000-0000-000013010000}"/>
    <cellStyle name="壞_OGC-0880834-STOLT SINCERITY-2EHA-GANTRADE" xfId="129" xr:uid="{00000000-0005-0000-0000-000014010000}"/>
    <cellStyle name="壞_OGC-0880911-ASIANAN SAMBU-AN-FPC" xfId="215" xr:uid="{00000000-0005-0000-0000-000015010000}"/>
    <cellStyle name="壞_OGC-0881381AC-ASUKA-SM-FCFC" xfId="216" xr:uid="{00000000-0005-0000-0000-000016010000}"/>
    <cellStyle name="壞_OGC-0980036-SAMHO RUBE MTBE0128" xfId="217" xr:uid="{00000000-0005-0000-0000-000017010000}"/>
    <cellStyle name="壞_OGC-0980264-SETYAWATI-SM-FCFC" xfId="298" xr:uid="{00000000-0005-0000-0000-000018010000}"/>
    <cellStyle name="壞_OGC-0980281-PUSPAWATI-DEG-KC" xfId="130" xr:uid="{00000000-0005-0000-0000-000019010000}"/>
    <cellStyle name="壞_OGC-0980307-KANG YUN-(CPC)-ALKYLATE-0325" xfId="131" xr:uid="{00000000-0005-0000-0000-00001A010000}"/>
    <cellStyle name="壞_OGC-0980355 TORM KANSAS(ALKYLATE)-BP" xfId="132" xr:uid="{00000000-0005-0000-0000-00001B010000}"/>
    <cellStyle name="壞_OGC-0980396-SETYAWATI-SM-FCFC" xfId="299" xr:uid="{00000000-0005-0000-0000-00001C010000}"/>
    <cellStyle name="壞_OGC-0980497 XUE SONG -MEG(FOMEA) 20090509" xfId="300" xr:uid="{00000000-0005-0000-0000-00001D010000}"/>
    <cellStyle name="壞_OGC-0980497-XUE SONG-MEG-FOMEA" xfId="133" xr:uid="{00000000-0005-0000-0000-00001E010000}"/>
    <cellStyle name="壞_OGC-0980540-A-PRITA DEWI-DEG-DELTEC" xfId="134" xr:uid="{00000000-0005-0000-0000-00001F010000}"/>
    <cellStyle name="壞_OGC-0980611AB-SAMHO ONYX-SM-LOWI (2)" xfId="218" xr:uid="{00000000-0005-0000-0000-000020010000}"/>
    <cellStyle name="壞_OGC-0980729-STOLT MEGAMI-BA-GANTRADE-EUROPE" xfId="301" xr:uid="{00000000-0005-0000-0000-000021010000}"/>
    <cellStyle name="壞_OGC-0980863-A-SAMHO SAPPHIRE-DEG-DELTEC" xfId="135" xr:uid="{00000000-0005-0000-0000-000022010000}"/>
    <cellStyle name="壞_OGC-0980917-STOLT INNOVATION-BA-GANTRAE EUROPE" xfId="302" xr:uid="{00000000-0005-0000-0000-000023010000}"/>
    <cellStyle name="壞_OGC-0981048-SUNNY DREAM-DEG-DELTEC" xfId="136" xr:uid="{00000000-0005-0000-0000-000024010000}"/>
    <cellStyle name="壞_OGC-0981068-SETYAWATI-MEG-KINTU" xfId="137" xr:uid="{00000000-0005-0000-0000-000025010000}"/>
    <cellStyle name="壞_OGC-0981073 MOUNTAIN BLOSSOM-SODA-BCS-20090903" xfId="219" xr:uid="{00000000-0005-0000-0000-000026010000}"/>
    <cellStyle name="壞_OGC-0981170-WOO HYEON-AN-FPC" xfId="220" xr:uid="{00000000-0005-0000-0000-000027010000}"/>
    <cellStyle name="壞_OGC-0981216-CHEMROUTE BRILLIANT-PHENOL-FCFC" xfId="303" xr:uid="{00000000-0005-0000-0000-000028010000}"/>
    <cellStyle name="壞_OGC-0981310-GLOBAL CHALLENGE-PHENOL-FCFC" xfId="304" xr:uid="{00000000-0005-0000-0000-000029010000}"/>
    <cellStyle name="壞_OGC-0981323-ACACIA-BA-FPC" xfId="257" xr:uid="{00000000-0005-0000-0000-00002A010000}"/>
    <cellStyle name="壞_OGC-0981371 BOW DE FENG-MEG-ITOCC-20091122" xfId="221" xr:uid="{00000000-0005-0000-0000-00002B010000}"/>
    <cellStyle name="壞_OGC-0981570-NO.2 HEUNG-A PIONEER-PHENOL-FCFC" xfId="305" xr:uid="{00000000-0005-0000-0000-00002C010000}"/>
    <cellStyle name="壞_OGC-1080032-AGILITY-BA-FPC" xfId="258" xr:uid="{00000000-0005-0000-0000-00002D010000}"/>
    <cellStyle name="壞_OGC-1080050 NEW MIGHTY-BASE OIL 150N-WINSON-20100202" xfId="222" xr:uid="{00000000-0005-0000-0000-00002E010000}"/>
    <cellStyle name="壞_OGC-1080207 B-CAPRIOLE-BA (FPC) 2010 02 18" xfId="259" xr:uid="{00000000-0005-0000-0000-00002F010000}"/>
    <cellStyle name="壞_OGC-1080207A-CAPRIOLE-BA-FPC" xfId="260" xr:uid="{00000000-0005-0000-0000-000030010000}"/>
    <cellStyle name="壞_OGC-1080207B-CAPRIOLE-BA-FPC" xfId="261" xr:uid="{00000000-0005-0000-0000-000031010000}"/>
    <cellStyle name="壞_OGC-1080304-ORIENTAL ROSE-BA-FPC" xfId="262" xr:uid="{00000000-0005-0000-0000-000032010000}"/>
    <cellStyle name="壞_OGC-1080444-ERRIA IDA-BA-FPC" xfId="263" xr:uid="{00000000-0005-0000-0000-000033010000}"/>
    <cellStyle name="壞_OGC-1080851-GINGA CHEETAH-BA-FPC" xfId="264" xr:uid="{00000000-0005-0000-0000-000034010000}"/>
    <cellStyle name="壞_OGC-1080974-GLOBAL MOON-BA-FPC" xfId="265" xr:uid="{00000000-0005-0000-0000-000035010000}"/>
    <cellStyle name="壞_OGC-1081150-GINGA COUGAR-PHENOL-FCFC" xfId="306" xr:uid="{00000000-0005-0000-0000-000036010000}"/>
    <cellStyle name="壞_OGC-1081223-CRANE PLANET-ACETONE-LENSO" xfId="307" xr:uid="{00000000-0005-0000-0000-000037010000}"/>
    <cellStyle name="壞_OGC-1081293-KY VENUS-PHENOL-FCFC" xfId="308" xr:uid="{00000000-0005-0000-0000-000038010000}"/>
    <cellStyle name="壞_OGC-1180163 NAKSKOV MAERSK-llGASOIL 0.05%S-TOTSA" xfId="223" xr:uid="{00000000-0005-0000-0000-000039010000}"/>
    <cellStyle name="壞_OGC-1180219-MALHARI-PHENOL-FCFC" xfId="309" xr:uid="{00000000-0005-0000-0000-00003A010000}"/>
    <cellStyle name="壞_OGC-1180255-ORIENTAL ROSE-BA-FPC" xfId="266" xr:uid="{00000000-0005-0000-0000-00003B010000}"/>
    <cellStyle name="壞_OGC-1180628-CAPRIOLE-BA-FPC" xfId="267" xr:uid="{00000000-0005-0000-0000-00003C010000}"/>
    <cellStyle name="壞_OGC-1180680-BOW MATE-AN-FPC" xfId="224" xr:uid="{00000000-0005-0000-0000-00003D010000}"/>
    <cellStyle name="壞_OGC-1180696-NEELAMBARI-PHENOL-FCFC" xfId="310" xr:uid="{00000000-0005-0000-0000-00003E010000}"/>
    <cellStyle name="壞_OGC-1180721-CHEMSTAR-BA-FPC" xfId="268" xr:uid="{00000000-0005-0000-0000-00003F010000}"/>
    <cellStyle name="壞_OGC-1180793-ROYAL PERIDOT-PHENOL-FCFC" xfId="311" xr:uid="{00000000-0005-0000-0000-000040010000}"/>
    <cellStyle name="壞_OGC-1180832-AS OMARIA-BA-FPC" xfId="269" xr:uid="{00000000-0005-0000-0000-000041010000}"/>
    <cellStyle name="壞_OGC-1180841-GOLDEN DOMINANCE-ACETONE-CHEMNEWS(IRAN)" xfId="312" xr:uid="{00000000-0005-0000-0000-000042010000}"/>
    <cellStyle name="壞_OGC-1180853-CONSTANCY-PHENOL-SUMITOMO" xfId="313" xr:uid="{00000000-0005-0000-0000-000043010000}"/>
    <cellStyle name="壞_OGC-1180907-CRANE PLANET-BA-FPC" xfId="270" xr:uid="{00000000-0005-0000-0000-000044010000}"/>
    <cellStyle name="壞_OGC-1180922-CAPRIOLE-PHENOL-FCFC" xfId="314" xr:uid="{00000000-0005-0000-0000-000045010000}"/>
    <cellStyle name="壞_OGC-1180932-CAPRIOLE-PHENOL-CHEMNEWS(IRAN)" xfId="315" xr:uid="{00000000-0005-0000-0000-000046010000}"/>
    <cellStyle name="壞_OGC-1180955B-DL CLOVER-BA-FPC" xfId="271" xr:uid="{00000000-0005-0000-0000-000047010000}"/>
    <cellStyle name="壞_OGC-1181005-KY VENUS-PHENOL-FCFC" xfId="316" xr:uid="{00000000-0005-0000-0000-000048010000}"/>
    <cellStyle name="壞_OGC-1181051-DL VIOLET-BA-FPC" xfId="272" xr:uid="{00000000-0005-0000-0000-000049010000}"/>
    <cellStyle name="壞_P 數量" xfId="273" xr:uid="{00000000-0005-0000-0000-00004A010000}"/>
    <cellStyle name="壞_P 數量 2010 05 01" xfId="225" xr:uid="{00000000-0005-0000-0000-00004B010000}"/>
    <cellStyle name="壞_P 驗艙 2010 05 01" xfId="274" xr:uid="{00000000-0005-0000-0000-00004C010000}"/>
    <cellStyle name="壞_P 驗艙 甲板驗" xfId="275" xr:uid="{00000000-0005-0000-0000-00004D010000}"/>
    <cellStyle name="壞_SODA TRICON 2010 04 01" xfId="276" xr:uid="{00000000-0005-0000-0000-00004E010000}"/>
    <cellStyle name="壞_UPDATE1_-OGC_1081248-NORD_INDEPENDENCE-GASOLINE_93-VITOL" xfId="226" xr:uid="{00000000-0005-0000-0000-00004F010000}"/>
    <cellStyle name="壞_UPDATES OGC-0980252 AN YUN (MTBE)-CPC" xfId="138" xr:uid="{00000000-0005-0000-0000-000050010000}"/>
    <cellStyle name="壞_UPDATES OGC-0980295 FORMOSA FOUR(MTBE)-CPC" xfId="139" xr:uid="{00000000-0005-0000-0000-000051010000}"/>
    <cellStyle name="壞_UPDATES OGC-0981391 SC GUANGZHOU(BASE OIL 150N)-CHAMPOIL" xfId="227" xr:uid="{00000000-0005-0000-0000-000052010000}"/>
    <cellStyle name="壞_UPDATES OGC-1080221-SC VENUS(BASE OIL150N)" xfId="228" xr:uid="{00000000-0005-0000-0000-000053010000}"/>
    <cellStyle name="壞_UPDATES OGC-1080222-SC VENUS(BASE OIL500N)" xfId="229" xr:uid="{00000000-0005-0000-0000-000054010000}"/>
    <cellStyle name="壞_UPDATES_OGC-0980134_GINGA_PHOENIX_(MTBE)(1)" xfId="230" xr:uid="{00000000-0005-0000-0000-000055010000}"/>
    <cellStyle name="壞_VINASHIN VICTORY(1) 93 OGC-0980238 MARCH-03-2009" xfId="140" xr:uid="{00000000-0005-0000-0000-000056010000}"/>
    <cellStyle name="壞_工作日誌991206" xfId="141" xr:uid="{00000000-0005-0000-0000-000057010000}"/>
    <cellStyle name="壞_母檔" xfId="142" xr:uid="{00000000-0005-0000-0000-000058010000}"/>
    <cellStyle name="壞_母檔 2009 02 27" xfId="21" xr:uid="{00000000-0005-0000-0000-000059010000}"/>
    <cellStyle name="警告文本" xfId="143" xr:uid="{00000000-0005-0000-0000-00005A010000}"/>
  </cellStyles>
  <dxfs count="0"/>
  <tableStyles count="0" defaultTableStyle="TableStyleMedium9" defaultPivotStyle="PivotStyleLight16"/>
  <colors>
    <mruColors>
      <color rgb="FF0000CC"/>
      <color rgb="FFFFFF99"/>
      <color rgb="FFFFFFCC"/>
      <color rgb="FF008000"/>
      <color rgb="FF669900"/>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10/relationships/person" Target="persons/person.xml"/><Relationship Id="rId2" Type="http://schemas.openxmlformats.org/officeDocument/2006/relationships/worksheet" Target="worksheets/sheet2.xml"/><Relationship Id="rId16"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Structure" Target="richData/rdrichvaluestructure.xml"/><Relationship Id="rId10" Type="http://schemas.openxmlformats.org/officeDocument/2006/relationships/theme" Target="theme/theme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06/relationships/rdRichValue" Target="richData/rdrichvalue.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3.jpeg"/></Relationships>
</file>

<file path=xl/drawings/_rels/drawing6.x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44450</xdr:colOff>
      <xdr:row>0</xdr:row>
      <xdr:rowOff>57150</xdr:rowOff>
    </xdr:from>
    <xdr:to>
      <xdr:col>6</xdr:col>
      <xdr:colOff>74930</xdr:colOff>
      <xdr:row>3</xdr:row>
      <xdr:rowOff>172974</xdr:rowOff>
    </xdr:to>
    <xdr:pic>
      <xdr:nvPicPr>
        <xdr:cNvPr id="2" name="圖片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
          <a:ext cx="1570355" cy="7158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44450</xdr:colOff>
      <xdr:row>0</xdr:row>
      <xdr:rowOff>57150</xdr:rowOff>
    </xdr:from>
    <xdr:to>
      <xdr:col>6</xdr:col>
      <xdr:colOff>189230</xdr:colOff>
      <xdr:row>3</xdr:row>
      <xdr:rowOff>172974</xdr:rowOff>
    </xdr:to>
    <xdr:pic>
      <xdr:nvPicPr>
        <xdr:cNvPr id="2" name="圖片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4450" y="57150"/>
          <a:ext cx="1554480" cy="72542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44450</xdr:colOff>
      <xdr:row>0</xdr:row>
      <xdr:rowOff>57150</xdr:rowOff>
    </xdr:from>
    <xdr:to>
      <xdr:col>6</xdr:col>
      <xdr:colOff>189230</xdr:colOff>
      <xdr:row>3</xdr:row>
      <xdr:rowOff>172974</xdr:rowOff>
    </xdr:to>
    <xdr:pic>
      <xdr:nvPicPr>
        <xdr:cNvPr id="2" name="圖片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4450" y="57150"/>
          <a:ext cx="1554480" cy="72542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107950</xdr:colOff>
          <xdr:row>3</xdr:row>
          <xdr:rowOff>50800</xdr:rowOff>
        </xdr:from>
        <xdr:to>
          <xdr:col>29</xdr:col>
          <xdr:colOff>368300</xdr:colOff>
          <xdr:row>6</xdr:row>
          <xdr:rowOff>6350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w="9525">
              <a:miter lim="800000"/>
              <a:headEnd/>
              <a:tailEnd/>
            </a:ln>
          </xdr:spPr>
          <xdr:txBody>
            <a:bodyPr vertOverflow="clip" wrap="square" lIns="64008" tIns="73152" rIns="64008" bIns="73152" anchor="ctr" upright="1"/>
            <a:lstStyle/>
            <a:p>
              <a:pPr algn="ctr" rtl="0">
                <a:defRPr sz="1000"/>
              </a:pPr>
              <a:r>
                <a:rPr lang="zh-TW" altLang="en-US" sz="2400" b="0" i="0" u="none" strike="noStrike" baseline="0">
                  <a:solidFill>
                    <a:srgbClr val="000000"/>
                  </a:solidFill>
                  <a:latin typeface="新細明體"/>
                  <a:ea typeface="新細明體"/>
                </a:rPr>
                <a:t>Create Report</a:t>
              </a:r>
              <a:endParaRPr lang="zh-TW" altLang="en-US" sz="1100" b="0" i="0" u="none" strike="noStrike" baseline="0">
                <a:solidFill>
                  <a:srgbClr val="000000"/>
                </a:solidFill>
                <a:latin typeface="新細明體"/>
                <a:ea typeface="新細明體"/>
              </a:endParaRPr>
            </a:p>
            <a:p>
              <a:pPr algn="ctr" rtl="0">
                <a:defRPr sz="1000"/>
              </a:pPr>
              <a:endParaRPr lang="zh-TW" altLang="en-US" sz="1100" b="0" i="0" u="none" strike="noStrike" baseline="0">
                <a:solidFill>
                  <a:srgbClr val="000000"/>
                </a:solidFill>
                <a:latin typeface="新細明體"/>
                <a:ea typeface="新細明體"/>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95250</xdr:colOff>
          <xdr:row>0</xdr:row>
          <xdr:rowOff>127000</xdr:rowOff>
        </xdr:from>
        <xdr:to>
          <xdr:col>25</xdr:col>
          <xdr:colOff>1181100</xdr:colOff>
          <xdr:row>2</xdr:row>
          <xdr:rowOff>127000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6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100" b="0" i="0" u="none" strike="noStrike" baseline="0">
                  <a:solidFill>
                    <a:srgbClr val="000000"/>
                  </a:solidFill>
                  <a:latin typeface="新細明體"/>
                  <a:ea typeface="新細明體"/>
                </a:rPr>
                <a:t>自動隱藏</a:t>
              </a:r>
            </a:p>
          </xdr:txBody>
        </xdr:sp>
        <xdr:clientData fPrintsWithSheet="0"/>
      </xdr:twoCellAnchor>
    </mc:Choice>
    <mc:Fallback/>
  </mc:AlternateContent>
  <xdr:twoCellAnchor>
    <xdr:from>
      <xdr:col>18</xdr:col>
      <xdr:colOff>17830</xdr:colOff>
      <xdr:row>145</xdr:row>
      <xdr:rowOff>179021</xdr:rowOff>
    </xdr:from>
    <xdr:to>
      <xdr:col>22</xdr:col>
      <xdr:colOff>236904</xdr:colOff>
      <xdr:row>149</xdr:row>
      <xdr:rowOff>32727</xdr:rowOff>
    </xdr:to>
    <xdr:pic>
      <xdr:nvPicPr>
        <xdr:cNvPr id="3" name="圖片 1">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633792" y="27369233"/>
          <a:ext cx="1244843" cy="58639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26</xdr:col>
          <xdr:colOff>101600</xdr:colOff>
          <xdr:row>6</xdr:row>
          <xdr:rowOff>488950</xdr:rowOff>
        </xdr:from>
        <xdr:to>
          <xdr:col>29</xdr:col>
          <xdr:colOff>368300</xdr:colOff>
          <xdr:row>9</xdr:row>
          <xdr:rowOff>82550</xdr:rowOff>
        </xdr:to>
        <xdr:sp macro="" textlink="">
          <xdr:nvSpPr>
            <xdr:cNvPr id="7174" name="Button 6" hidden="1">
              <a:extLst>
                <a:ext uri="{63B3BB69-23CF-44E3-9099-C40C66FF867C}">
                  <a14:compatExt spid="_x0000_s7174"/>
                </a:ext>
                <a:ext uri="{FF2B5EF4-FFF2-40B4-BE49-F238E27FC236}">
                  <a16:creationId xmlns:a16="http://schemas.microsoft.com/office/drawing/2014/main" id="{00000000-0008-0000-0600-0000061C0000}"/>
                </a:ext>
              </a:extLst>
            </xdr:cNvPr>
            <xdr:cNvSpPr/>
          </xdr:nvSpPr>
          <xdr:spPr bwMode="auto">
            <a:xfrm>
              <a:off x="0" y="0"/>
              <a:ext cx="0" cy="0"/>
            </a:xfrm>
            <a:prstGeom prst="rect">
              <a:avLst/>
            </a:prstGeom>
            <a:noFill/>
            <a:ln w="9525">
              <a:miter lim="800000"/>
              <a:headEnd/>
              <a:tailEnd/>
            </a:ln>
          </xdr:spPr>
          <xdr:txBody>
            <a:bodyPr vertOverflow="clip" wrap="square" lIns="64008" tIns="73152" rIns="64008" bIns="73152" anchor="ctr" upright="1"/>
            <a:lstStyle/>
            <a:p>
              <a:pPr algn="ctr" rtl="0">
                <a:defRPr sz="1000"/>
              </a:pPr>
              <a:r>
                <a:rPr lang="zh-TW" altLang="en-US" sz="2400" b="0" i="0" u="none" strike="noStrike" baseline="0">
                  <a:solidFill>
                    <a:srgbClr val="000000"/>
                  </a:solidFill>
                  <a:latin typeface="新細明體"/>
                  <a:ea typeface="新細明體"/>
                </a:rPr>
                <a:t>Print PDF</a:t>
              </a:r>
              <a:endParaRPr lang="zh-TW" altLang="en-US" sz="1100" b="0" i="0" u="none" strike="noStrike" baseline="0">
                <a:solidFill>
                  <a:srgbClr val="000000"/>
                </a:solidFill>
                <a:latin typeface="新細明體"/>
                <a:ea typeface="新細明體"/>
              </a:endParaRPr>
            </a:p>
            <a:p>
              <a:pPr algn="ctr" rtl="0">
                <a:defRPr sz="1000"/>
              </a:pPr>
              <a:endParaRPr lang="zh-TW" altLang="en-US" sz="1100" b="0" i="0" u="none" strike="noStrike" baseline="0">
                <a:solidFill>
                  <a:srgbClr val="000000"/>
                </a:solidFill>
                <a:latin typeface="新細明體"/>
                <a:ea typeface="新細明體"/>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238875</xdr:colOff>
      <xdr:row>3</xdr:row>
      <xdr:rowOff>70200</xdr:rowOff>
    </xdr:to>
    <xdr:pic>
      <xdr:nvPicPr>
        <xdr:cNvPr id="3" name="Picture 8" descr="Corporate_BLK">
          <a:extLst>
            <a:ext uri="{FF2B5EF4-FFF2-40B4-BE49-F238E27FC236}">
              <a16:creationId xmlns:a16="http://schemas.microsoft.com/office/drawing/2014/main" id="{00000000-0008-0000-0700-000003000000}"/>
            </a:ext>
          </a:extLst>
        </xdr:cNvPr>
        <xdr:cNvPicPr>
          <a:picLocks noChangeArrowheads="1"/>
        </xdr:cNvPicPr>
      </xdr:nvPicPr>
      <xdr:blipFill>
        <a:blip xmlns:r="http://schemas.openxmlformats.org/officeDocument/2006/relationships" r:embed="rId1" cstate="print"/>
        <a:srcRect/>
        <a:stretch>
          <a:fillRect/>
        </a:stretch>
      </xdr:blipFill>
      <xdr:spPr bwMode="auto">
        <a:xfrm>
          <a:off x="0" y="0"/>
          <a:ext cx="1620000" cy="756000"/>
        </a:xfrm>
        <a:prstGeom prst="rect">
          <a:avLst/>
        </a:prstGeom>
        <a:noFill/>
        <a:ln w="9525">
          <a:noFill/>
          <a:miter lim="800000"/>
          <a:headEnd/>
          <a:tailEnd/>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238875</xdr:colOff>
      <xdr:row>3</xdr:row>
      <xdr:rowOff>70200</xdr:rowOff>
    </xdr:to>
    <xdr:pic>
      <xdr:nvPicPr>
        <xdr:cNvPr id="3" name="Picture 8" descr="Corporate_BLK">
          <a:extLst>
            <a:ext uri="{FF2B5EF4-FFF2-40B4-BE49-F238E27FC236}">
              <a16:creationId xmlns:a16="http://schemas.microsoft.com/office/drawing/2014/main" id="{00000000-0008-0000-0800-000003000000}"/>
            </a:ext>
          </a:extLst>
        </xdr:cNvPr>
        <xdr:cNvPicPr>
          <a:picLocks noChangeArrowheads="1"/>
        </xdr:cNvPicPr>
      </xdr:nvPicPr>
      <xdr:blipFill>
        <a:blip xmlns:r="http://schemas.openxmlformats.org/officeDocument/2006/relationships" r:embed="rId1" cstate="print"/>
        <a:srcRect/>
        <a:stretch>
          <a:fillRect/>
        </a:stretch>
      </xdr:blipFill>
      <xdr:spPr bwMode="auto">
        <a:xfrm>
          <a:off x="0" y="0"/>
          <a:ext cx="1620000" cy="756000"/>
        </a:xfrm>
        <a:prstGeom prst="rect">
          <a:avLst/>
        </a:prstGeom>
        <a:noFill/>
        <a:ln w="9525">
          <a:noFill/>
          <a:miter lim="800000"/>
          <a:headEnd/>
          <a:tailEnd/>
        </a:ln>
      </xdr:spPr>
    </xdr:pic>
    <xdr:clientData/>
  </xdr:twoCellAnchor>
</xdr:wsDr>
</file>

<file path=xl/persons/person.xml><?xml version="1.0" encoding="utf-8"?>
<personList xmlns="http://schemas.microsoft.com/office/spreadsheetml/2018/threadedcomments" xmlns:x="http://schemas.openxmlformats.org/spreadsheetml/2006/mai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1</v>
  </rv>
  <rv s="1">
    <v>13</v>
    <v>3</v>
  </rv>
</rvData>
</file>

<file path=xl/richData/rdrichvaluestructure.xml><?xml version="1.0" encoding="utf-8"?>
<rvStructures xmlns="http://schemas.microsoft.com/office/spreadsheetml/2017/richdata" count="2">
  <s t="_error">
    <k n="errorType" t="i"/>
    <k n="propagated" t="b"/>
  </s>
  <s t="_error">
    <k n="errorType" t="i"/>
    <k n="subType" t="i"/>
  </s>
</rvStructures>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F0AFEF-13E7-4889-B99D-8B1ECEAA5938}">
  <sheetPr codeName="工作表2">
    <tabColor rgb="FFFF0000"/>
  </sheetPr>
  <dimension ref="A1:BS67"/>
  <sheetViews>
    <sheetView view="pageBreakPreview" zoomScaleNormal="100" zoomScaleSheetLayoutView="100" workbookViewId="0">
      <selection activeCell="E20" sqref="E20:Z22"/>
    </sheetView>
  </sheetViews>
  <sheetFormatPr defaultRowHeight="14"/>
  <cols>
    <col min="1" max="26" width="3.7265625" style="73" customWidth="1"/>
    <col min="27" max="27" width="6.26953125" style="73" customWidth="1"/>
    <col min="28" max="28" width="16" style="73" customWidth="1"/>
    <col min="29" max="29" width="9.36328125" style="73" customWidth="1"/>
    <col min="30" max="30" width="11.36328125" style="73" customWidth="1"/>
    <col min="31" max="32" width="12.26953125" style="73" customWidth="1"/>
    <col min="33" max="33" width="11.08984375" style="73" customWidth="1"/>
    <col min="34" max="37" width="2.453125" style="73" customWidth="1"/>
    <col min="38" max="38" width="18.1796875" style="73" customWidth="1"/>
    <col min="39" max="43" width="2.453125" style="73" customWidth="1"/>
    <col min="44" max="45" width="5.6328125" style="73" customWidth="1"/>
    <col min="46" max="71" width="5.6328125" style="77" customWidth="1"/>
    <col min="72" max="75" width="5.6328125" style="73" customWidth="1"/>
    <col min="76" max="81" width="2.453125" style="73" customWidth="1"/>
    <col min="82" max="16384" width="8.7265625" style="73"/>
  </cols>
  <sheetData>
    <row r="1" spans="1:71" ht="16" customHeight="1">
      <c r="AA1" s="73" t="str">
        <f>_xlfn.XLOOKUP(E12,客戶名稱!E:E,客戶名稱!D:D,"",0,1)</f>
        <v>B</v>
      </c>
      <c r="AB1" s="73" t="s">
        <v>571</v>
      </c>
      <c r="AK1" s="73" t="s">
        <v>246</v>
      </c>
      <c r="AL1" s="73" t="s">
        <v>647</v>
      </c>
    </row>
    <row r="2" spans="1:71" ht="16" customHeight="1">
      <c r="J2" s="74"/>
      <c r="K2" s="74"/>
      <c r="L2" s="74"/>
      <c r="M2" s="74"/>
      <c r="N2" s="74"/>
      <c r="O2" s="74"/>
      <c r="P2" s="74"/>
      <c r="Q2" s="74"/>
      <c r="R2" s="74"/>
      <c r="S2" s="74"/>
      <c r="T2" s="74"/>
      <c r="U2" s="74"/>
      <c r="V2" s="74"/>
      <c r="W2" s="74"/>
      <c r="X2" s="74"/>
      <c r="Y2" s="74"/>
      <c r="Z2" s="74"/>
      <c r="AB2" s="73" t="s">
        <v>572</v>
      </c>
      <c r="AK2" s="73" t="s">
        <v>650</v>
      </c>
      <c r="AL2" s="73" t="s">
        <v>649</v>
      </c>
    </row>
    <row r="3" spans="1:71" ht="16" customHeight="1">
      <c r="J3" s="80"/>
      <c r="K3" s="80"/>
      <c r="L3" s="80"/>
      <c r="M3" s="80"/>
      <c r="N3" s="80"/>
      <c r="O3" s="80"/>
      <c r="P3" s="80"/>
      <c r="Q3" s="80"/>
      <c r="R3" s="80"/>
      <c r="S3" s="80"/>
      <c r="T3" s="80"/>
      <c r="U3" s="80"/>
      <c r="V3" s="80"/>
      <c r="W3" s="80"/>
      <c r="X3" s="80"/>
      <c r="Y3" s="80"/>
      <c r="Z3" s="80"/>
      <c r="AB3" s="73" t="s">
        <v>573</v>
      </c>
      <c r="AE3" s="114"/>
      <c r="AF3" s="86"/>
      <c r="AK3" s="73" t="s">
        <v>651</v>
      </c>
    </row>
    <row r="4" spans="1:71" ht="16" customHeight="1">
      <c r="J4" s="80"/>
      <c r="K4" s="80"/>
      <c r="L4" s="80"/>
      <c r="M4" s="80"/>
      <c r="N4" s="80"/>
      <c r="O4" s="80"/>
      <c r="P4" s="80"/>
      <c r="Q4" s="80"/>
      <c r="R4" s="80"/>
      <c r="S4" s="80"/>
      <c r="T4" s="80"/>
      <c r="U4" s="80"/>
      <c r="V4" s="80"/>
      <c r="W4" s="80"/>
      <c r="X4" s="80"/>
      <c r="Y4" s="80"/>
      <c r="Z4" s="80"/>
      <c r="AB4" s="139" t="s">
        <v>574</v>
      </c>
      <c r="AE4" s="114"/>
      <c r="AF4" s="86"/>
      <c r="AT4" s="79"/>
      <c r="AU4" s="79"/>
      <c r="AV4" s="79"/>
      <c r="AW4" s="79"/>
      <c r="AX4" s="79"/>
      <c r="AY4" s="79"/>
      <c r="AZ4" s="79"/>
      <c r="BA4" s="79"/>
      <c r="BB4" s="79"/>
      <c r="BC4" s="79"/>
      <c r="BD4" s="79"/>
      <c r="BE4" s="79"/>
      <c r="BF4" s="79"/>
      <c r="BG4" s="79"/>
      <c r="BH4" s="79"/>
      <c r="BI4" s="79"/>
      <c r="BJ4" s="79"/>
      <c r="BK4" s="79"/>
      <c r="BL4" s="79"/>
      <c r="BM4" s="79"/>
      <c r="BN4" s="79"/>
      <c r="BO4" s="79"/>
      <c r="BP4" s="76"/>
      <c r="BQ4" s="76"/>
      <c r="BR4" s="76"/>
      <c r="BS4" s="76"/>
    </row>
    <row r="5" spans="1:71" ht="16" customHeight="1">
      <c r="A5" s="277" t="s">
        <v>244</v>
      </c>
      <c r="B5" s="277"/>
      <c r="C5" s="277"/>
      <c r="D5" s="277"/>
      <c r="E5" s="277"/>
      <c r="F5" s="277"/>
      <c r="G5" s="277"/>
      <c r="H5" s="277"/>
      <c r="I5" s="277"/>
      <c r="J5" s="277"/>
      <c r="K5" s="277"/>
      <c r="L5" s="277"/>
      <c r="M5" s="277"/>
      <c r="N5" s="277"/>
      <c r="O5" s="277"/>
      <c r="P5" s="277"/>
      <c r="Q5" s="277"/>
      <c r="R5" s="277"/>
      <c r="S5" s="277"/>
      <c r="T5" s="277"/>
      <c r="U5" s="277"/>
      <c r="V5" s="277"/>
      <c r="W5" s="277"/>
      <c r="X5" s="277"/>
      <c r="Y5" s="277"/>
      <c r="Z5" s="277"/>
      <c r="AB5" s="73" t="s">
        <v>658</v>
      </c>
      <c r="AT5" s="79"/>
      <c r="AU5" s="79"/>
      <c r="AV5" s="79"/>
      <c r="AW5" s="76"/>
      <c r="AX5" s="76"/>
      <c r="AY5" s="76"/>
      <c r="AZ5" s="76"/>
      <c r="BA5" s="79"/>
      <c r="BB5" s="79"/>
      <c r="BC5" s="79"/>
      <c r="BD5" s="76"/>
      <c r="BE5" s="76"/>
      <c r="BF5" s="76"/>
      <c r="BG5" s="76"/>
      <c r="BH5" s="85"/>
      <c r="BI5" s="85"/>
      <c r="BJ5" s="85"/>
      <c r="BK5" s="85"/>
      <c r="BL5" s="85"/>
      <c r="BM5" s="85"/>
      <c r="BN5" s="85"/>
      <c r="BO5" s="78"/>
      <c r="BP5" s="78"/>
      <c r="BQ5" s="78"/>
      <c r="BR5" s="79"/>
      <c r="BS5" s="79"/>
    </row>
    <row r="6" spans="1:71" ht="16" customHeight="1">
      <c r="A6" s="76"/>
      <c r="B6" s="76"/>
      <c r="C6" s="76"/>
      <c r="D6" s="76"/>
      <c r="E6" s="76"/>
      <c r="F6" s="76"/>
      <c r="G6" s="76"/>
      <c r="H6" s="76"/>
      <c r="I6" s="76"/>
      <c r="J6" s="76"/>
      <c r="K6" s="76"/>
      <c r="L6" s="76"/>
      <c r="M6" s="76"/>
      <c r="N6" s="76"/>
      <c r="O6" s="76"/>
      <c r="P6" s="76"/>
      <c r="Q6" s="76"/>
      <c r="R6" s="76"/>
      <c r="S6" s="76"/>
      <c r="T6" s="76"/>
      <c r="U6" s="76"/>
      <c r="V6" s="76"/>
      <c r="W6" s="76"/>
      <c r="X6" s="76"/>
      <c r="Y6" s="76"/>
      <c r="Z6" s="76"/>
      <c r="AB6" s="86" t="str">
        <f>TEXT(I51,"#,#.000 ")&amp;L51&amp;"("&amp;I35&amp;")"&amp;", "&amp;TEXT(M51,"#,#.000 ")&amp;P51&amp;"("&amp;M35&amp;")"&amp;", "&amp;TEXT(Q51,"#,# ")&amp;S51&amp;", comprising of"</f>
        <v>15,113.325 MT(Net Weight), 15,128.340 MT(Gross Weight), 135 coils, comprising of</v>
      </c>
      <c r="AE6" s="138"/>
      <c r="AF6" s="138"/>
      <c r="AG6" s="138"/>
      <c r="AH6" s="138"/>
      <c r="AI6" s="138"/>
      <c r="AJ6" s="138"/>
      <c r="AK6" s="138"/>
      <c r="AL6" s="138"/>
      <c r="AM6" s="138"/>
      <c r="AN6" s="138"/>
      <c r="AO6" s="138"/>
      <c r="AP6" s="138"/>
      <c r="AQ6" s="138"/>
      <c r="AT6" s="79"/>
      <c r="AU6" s="79"/>
      <c r="AV6" s="79"/>
      <c r="AW6" s="79"/>
      <c r="AX6" s="79"/>
      <c r="AY6" s="79"/>
      <c r="AZ6" s="79"/>
      <c r="BA6" s="79"/>
      <c r="BB6" s="79"/>
      <c r="BC6" s="79"/>
      <c r="BD6" s="76"/>
      <c r="BE6" s="76"/>
      <c r="BF6" s="76"/>
      <c r="BG6" s="76"/>
      <c r="BH6" s="76"/>
      <c r="BI6" s="76"/>
      <c r="BJ6" s="79"/>
      <c r="BK6" s="79"/>
      <c r="BL6" s="79"/>
      <c r="BM6" s="79"/>
      <c r="BN6" s="79"/>
      <c r="BO6" s="79"/>
      <c r="BP6" s="79"/>
      <c r="BQ6" s="79"/>
      <c r="BR6" s="76"/>
      <c r="BS6" s="76"/>
    </row>
    <row r="7" spans="1:71" s="86" customFormat="1" ht="16" customHeight="1">
      <c r="A7" s="278" t="s">
        <v>301</v>
      </c>
      <c r="B7" s="278"/>
      <c r="C7" s="278"/>
      <c r="D7" s="278"/>
      <c r="E7" s="279">
        <v>24301117</v>
      </c>
      <c r="F7" s="279"/>
      <c r="G7" s="279"/>
      <c r="H7" s="279"/>
      <c r="I7" s="279"/>
      <c r="J7" s="144"/>
      <c r="K7" s="144"/>
      <c r="L7" s="144"/>
      <c r="M7" s="144"/>
      <c r="N7" s="144"/>
      <c r="O7" s="280" t="s">
        <v>45</v>
      </c>
      <c r="P7" s="280"/>
      <c r="Q7" s="280"/>
      <c r="R7" s="280"/>
      <c r="S7" s="265" t="s">
        <v>308</v>
      </c>
      <c r="T7" s="265"/>
      <c r="U7" s="265"/>
      <c r="V7" s="265"/>
      <c r="W7" s="265"/>
      <c r="X7" s="265"/>
      <c r="Y7" s="265"/>
      <c r="Z7" s="265"/>
      <c r="AF7" s="113"/>
      <c r="AH7" s="113"/>
      <c r="AJ7" s="113"/>
      <c r="AL7" s="113"/>
      <c r="AN7" s="113"/>
      <c r="AT7" s="87"/>
      <c r="AU7" s="87"/>
      <c r="AV7" s="87"/>
      <c r="AW7" s="87"/>
      <c r="AX7" s="87"/>
      <c r="AY7" s="87"/>
      <c r="AZ7" s="87"/>
      <c r="BA7" s="87"/>
      <c r="BB7" s="87"/>
      <c r="BC7" s="87"/>
      <c r="BD7" s="87"/>
      <c r="BE7" s="87"/>
      <c r="BF7" s="83"/>
      <c r="BG7" s="83"/>
      <c r="BH7" s="83"/>
      <c r="BI7" s="83"/>
      <c r="BJ7" s="83"/>
      <c r="BK7" s="83"/>
      <c r="BL7" s="83"/>
      <c r="BM7" s="83"/>
      <c r="BN7" s="83"/>
      <c r="BO7" s="83"/>
      <c r="BP7" s="83"/>
      <c r="BQ7" s="83"/>
      <c r="BR7" s="83"/>
      <c r="BS7" s="83"/>
    </row>
    <row r="8" spans="1:71" s="86" customFormat="1" ht="16" customHeight="1">
      <c r="A8" s="281" t="s">
        <v>26</v>
      </c>
      <c r="B8" s="281"/>
      <c r="C8" s="281"/>
      <c r="D8" s="281"/>
      <c r="E8" s="279">
        <v>1234565</v>
      </c>
      <c r="F8" s="279"/>
      <c r="G8" s="279"/>
      <c r="H8" s="279"/>
      <c r="I8" s="279"/>
      <c r="J8" s="279"/>
      <c r="K8" s="279"/>
      <c r="L8" s="279"/>
      <c r="M8" s="279"/>
      <c r="N8" s="279"/>
      <c r="O8" s="123"/>
      <c r="P8" s="123"/>
      <c r="Q8" s="123" t="s">
        <v>28</v>
      </c>
      <c r="R8" s="123"/>
      <c r="S8" s="265" t="str">
        <f>IF(O28=O26,TEXT(O28,"mmmm dd, yyyy"),IF(TEXT(O28,"mmmm")=TEXT(O26,"mmmm"),TEXT(O26,"mmmm dd")&amp;"~"&amp;TEXT(O28,"dd, yyyy"),TEXT(O26,"mmmm dd")&amp;"~"&amp;TEXT(O28,"mmmm dd, yyyy")))</f>
        <v>April 01~03, 2024</v>
      </c>
      <c r="T8" s="265"/>
      <c r="U8" s="265"/>
      <c r="V8" s="265"/>
      <c r="W8" s="265"/>
      <c r="X8" s="265"/>
      <c r="Y8" s="265"/>
      <c r="Z8" s="265"/>
      <c r="AB8" s="86" t="str">
        <f>"In accordance with the instructions received, we attended on "&amp;S8&amp;",  at the export godown of the "&amp;E9&amp;" container terminal, in Kaohsiung City, for the purpose of conducting the container stuffing inspection of the following consignment, and we report as follows -"</f>
        <v>In accordance with the instructions received, we attended on April 01~03, 2024,  at the export godown of the ASIA PACIFIC container terminal, in Kaohsiung City, for the purpose of conducting the container stuffing inspection of the following consignment, and we report as follows -</v>
      </c>
      <c r="AF8" s="113"/>
      <c r="AH8" s="113"/>
      <c r="AJ8" s="113"/>
      <c r="AL8" s="113"/>
      <c r="AN8" s="113"/>
      <c r="AT8" s="91"/>
      <c r="AU8" s="91"/>
      <c r="AV8" s="91"/>
      <c r="AW8" s="89"/>
      <c r="AX8" s="83"/>
      <c r="AY8" s="83"/>
      <c r="AZ8" s="83"/>
      <c r="BA8" s="83"/>
      <c r="BB8" s="83"/>
      <c r="BC8" s="83"/>
      <c r="BD8" s="83"/>
      <c r="BE8" s="83"/>
      <c r="BF8" s="83"/>
      <c r="BG8" s="83"/>
      <c r="BH8" s="83"/>
      <c r="BI8" s="83"/>
      <c r="BJ8" s="83"/>
      <c r="BK8" s="83"/>
      <c r="BL8" s="83"/>
      <c r="BM8" s="83"/>
      <c r="BN8" s="83"/>
      <c r="BO8" s="83"/>
      <c r="BP8" s="83"/>
      <c r="BQ8" s="83"/>
      <c r="BR8" s="83"/>
      <c r="BS8" s="83"/>
    </row>
    <row r="9" spans="1:71" s="86" customFormat="1" ht="16" customHeight="1" thickBot="1">
      <c r="A9" s="278" t="s">
        <v>657</v>
      </c>
      <c r="B9" s="278"/>
      <c r="C9" s="278"/>
      <c r="D9" s="278"/>
      <c r="E9" s="279" t="s">
        <v>245</v>
      </c>
      <c r="F9" s="279"/>
      <c r="G9" s="279"/>
      <c r="H9" s="279"/>
      <c r="I9" s="279"/>
      <c r="J9" s="279"/>
      <c r="K9" s="279"/>
      <c r="L9" s="279"/>
      <c r="M9" s="83"/>
      <c r="N9" s="83"/>
      <c r="AB9" s="86" t="str">
        <f>"Per M.V. "&amp;E8&amp;" from "&amp;G13&amp;" to "&amp;G14</f>
        <v>Per M.V. 1234565 from Kaohsiung Taiwan Port to Ravenna port, Italy</v>
      </c>
      <c r="AT9" s="91"/>
      <c r="AU9" s="91"/>
      <c r="AV9" s="91"/>
      <c r="AW9" s="83"/>
      <c r="AX9" s="83"/>
      <c r="AY9" s="83"/>
      <c r="AZ9" s="83"/>
      <c r="BA9" s="83"/>
      <c r="BB9" s="83"/>
      <c r="BC9" s="83"/>
      <c r="BD9" s="83"/>
      <c r="BE9" s="83"/>
      <c r="BF9" s="83"/>
      <c r="BG9" s="83"/>
      <c r="BH9" s="83"/>
      <c r="BI9" s="83"/>
      <c r="BJ9" s="83"/>
      <c r="BK9" s="83"/>
      <c r="BL9" s="83"/>
      <c r="BM9" s="83"/>
      <c r="BN9" s="83"/>
      <c r="BO9" s="83"/>
      <c r="BP9" s="83"/>
      <c r="BQ9" s="83"/>
      <c r="BR9" s="83"/>
      <c r="BS9" s="83"/>
    </row>
    <row r="10" spans="1:71" s="86" customFormat="1" ht="16" customHeight="1" thickBot="1">
      <c r="A10" s="281" t="s">
        <v>27</v>
      </c>
      <c r="B10" s="281"/>
      <c r="C10" s="281"/>
      <c r="D10" s="281"/>
      <c r="E10" s="259" t="s">
        <v>246</v>
      </c>
      <c r="F10" s="240"/>
      <c r="G10" s="240"/>
      <c r="H10" s="260"/>
      <c r="I10" s="264" t="str">
        <f>_xlfn.XLOOKUP(E10,客戶名稱!A:A,客戶名稱!B:B,"",0,1)</f>
        <v>Yieh United Steel Corporation</v>
      </c>
      <c r="J10" s="265"/>
      <c r="K10" s="265"/>
      <c r="L10" s="265"/>
      <c r="M10" s="265"/>
      <c r="N10" s="265"/>
      <c r="O10" s="265"/>
      <c r="P10" s="265"/>
      <c r="Q10" s="265"/>
      <c r="R10" s="265"/>
      <c r="S10" s="265"/>
      <c r="T10" s="265"/>
      <c r="U10" s="265"/>
      <c r="V10" s="265"/>
      <c r="W10" s="265"/>
      <c r="X10" s="265"/>
      <c r="Y10" s="265"/>
      <c r="Z10" s="265"/>
      <c r="AC10" s="236" t="str" cm="1">
        <f t="array" ref="AC10">_xlfn.XLOOKUP(1,(客戶名稱!C:C=E10)*(客戶名稱!D:D=AA1)*(客戶名稱!E:E=E12),客戶名稱!F:F,"",0,1)</f>
        <v>C.P.C. Inox Spa</v>
      </c>
      <c r="AT10" s="91"/>
      <c r="AU10" s="91"/>
      <c r="AV10" s="91"/>
      <c r="AW10" s="83"/>
      <c r="AX10" s="83"/>
      <c r="AY10" s="83"/>
      <c r="AZ10" s="83"/>
      <c r="BA10" s="83"/>
      <c r="BB10" s="83"/>
      <c r="BC10" s="83"/>
      <c r="BD10" s="83"/>
      <c r="BE10" s="83"/>
      <c r="BF10" s="83"/>
      <c r="BG10" s="83"/>
      <c r="BH10" s="83"/>
      <c r="BI10" s="83"/>
      <c r="BJ10" s="83"/>
      <c r="BK10" s="83"/>
      <c r="BL10" s="83"/>
      <c r="BM10" s="83"/>
      <c r="BN10" s="83"/>
      <c r="BO10" s="83"/>
      <c r="BP10" s="83"/>
      <c r="BQ10" s="83"/>
      <c r="BR10" s="83"/>
      <c r="BS10" s="83"/>
    </row>
    <row r="11" spans="1:71" s="86" customFormat="1" ht="16" customHeight="1" thickBot="1">
      <c r="A11" s="124" t="s">
        <v>31</v>
      </c>
      <c r="B11" s="124"/>
      <c r="C11" s="124"/>
      <c r="D11" s="124"/>
      <c r="E11" s="259"/>
      <c r="F11" s="240"/>
      <c r="G11" s="240"/>
      <c r="H11" s="260"/>
      <c r="I11" s="266"/>
      <c r="J11" s="267"/>
      <c r="K11" s="267"/>
      <c r="L11" s="267"/>
      <c r="M11" s="267"/>
      <c r="N11" s="267"/>
      <c r="O11" s="267"/>
      <c r="P11" s="267"/>
      <c r="Q11" s="267"/>
      <c r="R11" s="267"/>
      <c r="S11" s="267"/>
      <c r="T11" s="267"/>
      <c r="U11" s="267"/>
      <c r="V11" s="267"/>
      <c r="W11" s="267"/>
      <c r="X11" s="267"/>
      <c r="Y11" s="267"/>
      <c r="Z11" s="267"/>
      <c r="AC11" s="236" t="str" cm="1">
        <f t="array" ref="AC11">_xlfn.XLOOKUP(1,(客戶名稱!C:C=E10)*(客戶名稱!D:D=AA1)*(客戶名稱!E:E=E12),客戶名稱!F:F,"",0,-1)</f>
        <v>C.P.C. Inox Spa</v>
      </c>
      <c r="AT11" s="83"/>
      <c r="AU11" s="83"/>
      <c r="AV11" s="83"/>
      <c r="AW11" s="89"/>
      <c r="AX11" s="83"/>
      <c r="AY11" s="83"/>
      <c r="AZ11" s="83"/>
      <c r="BA11" s="83"/>
      <c r="BB11" s="83"/>
      <c r="BC11" s="83"/>
      <c r="BD11" s="83"/>
      <c r="BE11" s="83"/>
      <c r="BF11" s="83"/>
      <c r="BG11" s="83"/>
      <c r="BH11" s="83"/>
      <c r="BI11" s="83"/>
      <c r="BJ11" s="83"/>
      <c r="BK11" s="83"/>
      <c r="BL11" s="83"/>
      <c r="BM11" s="83"/>
      <c r="BN11" s="83"/>
      <c r="BO11" s="83"/>
      <c r="BP11" s="83"/>
      <c r="BQ11" s="83"/>
      <c r="BR11" s="83"/>
      <c r="BS11" s="83"/>
    </row>
    <row r="12" spans="1:71" s="86" customFormat="1" ht="16" customHeight="1" thickBot="1">
      <c r="A12" s="281" t="s">
        <v>29</v>
      </c>
      <c r="B12" s="281"/>
      <c r="C12" s="281"/>
      <c r="D12" s="281"/>
      <c r="E12" s="261" t="s">
        <v>663</v>
      </c>
      <c r="F12" s="262"/>
      <c r="G12" s="262"/>
      <c r="H12" s="263"/>
      <c r="I12" s="264" t="s">
        <v>662</v>
      </c>
      <c r="J12" s="265"/>
      <c r="K12" s="265"/>
      <c r="L12" s="265"/>
      <c r="M12" s="265"/>
      <c r="N12" s="265"/>
      <c r="O12" s="265"/>
      <c r="P12" s="265"/>
      <c r="Q12" s="265"/>
      <c r="R12" s="265"/>
      <c r="S12" s="265"/>
      <c r="T12" s="265"/>
      <c r="U12" s="265"/>
      <c r="V12" s="265"/>
      <c r="W12" s="265"/>
      <c r="X12" s="265"/>
      <c r="Y12" s="265"/>
      <c r="Z12" s="265"/>
      <c r="AB12" s="113" t="s">
        <v>248</v>
      </c>
      <c r="AC12" s="236" t="str" cm="1">
        <f t="array" ref="AC12">_xlfn.XLOOKUP(1,(客戶名稱!C:C=E10)*(客戶名稱!D:D=AA1)*(客戶名稱!E:E=E12),客戶名稱!I:I,"",0,1)</f>
        <v>Ravenna port, Italy</v>
      </c>
      <c r="AT12" s="93"/>
      <c r="AU12" s="93"/>
      <c r="AV12" s="93"/>
      <c r="AW12" s="93"/>
      <c r="AX12" s="93"/>
      <c r="AY12" s="93"/>
      <c r="AZ12" s="93"/>
      <c r="BA12" s="93"/>
      <c r="BB12" s="93"/>
      <c r="BC12" s="83"/>
      <c r="BD12" s="83"/>
      <c r="BE12" s="83"/>
      <c r="BF12" s="83"/>
      <c r="BG12" s="83"/>
      <c r="BH12" s="83"/>
      <c r="BI12" s="83"/>
      <c r="BJ12" s="83"/>
      <c r="BK12" s="83"/>
      <c r="BL12" s="83"/>
      <c r="BM12" s="83"/>
      <c r="BN12" s="83"/>
      <c r="BO12" s="83"/>
      <c r="BP12" s="83"/>
      <c r="BQ12" s="83"/>
      <c r="BR12" s="83"/>
      <c r="BS12" s="83"/>
    </row>
    <row r="13" spans="1:71" s="86" customFormat="1" ht="16" customHeight="1">
      <c r="A13" s="122" t="s">
        <v>68</v>
      </c>
      <c r="B13" s="122"/>
      <c r="C13" s="122"/>
      <c r="D13" s="122"/>
      <c r="E13" s="83"/>
      <c r="F13" s="83"/>
      <c r="G13" s="279" t="s">
        <v>247</v>
      </c>
      <c r="H13" s="279"/>
      <c r="I13" s="279"/>
      <c r="J13" s="279"/>
      <c r="K13" s="279"/>
      <c r="L13" s="279"/>
      <c r="M13" s="279"/>
      <c r="N13" s="279"/>
      <c r="O13" s="122"/>
      <c r="P13" s="122"/>
      <c r="Q13" s="122"/>
      <c r="R13" s="123"/>
      <c r="S13" s="123"/>
      <c r="T13" s="123"/>
      <c r="U13" s="123"/>
      <c r="V13" s="123"/>
      <c r="W13" s="123"/>
      <c r="X13" s="123"/>
      <c r="Y13" s="123"/>
      <c r="Z13" s="123"/>
      <c r="AC13" s="236" t="str" cm="1">
        <f t="array" ref="AC13">_xlfn.XLOOKUP(1,(客戶名稱!C:C=E10)*(客戶名稱!D:D=AA1)*(客戶名稱!E:E=E12),客戶名稱!I:I,"",0,-1)</f>
        <v>Ravenna port, Italy</v>
      </c>
      <c r="AT13" s="83"/>
      <c r="AU13" s="94"/>
      <c r="AV13" s="94"/>
      <c r="AW13" s="91"/>
      <c r="AX13" s="91"/>
      <c r="AY13" s="91"/>
      <c r="AZ13" s="91"/>
      <c r="BA13" s="91"/>
      <c r="BB13" s="91"/>
      <c r="BC13" s="91"/>
      <c r="BD13" s="91"/>
      <c r="BE13" s="91"/>
      <c r="BF13" s="91"/>
      <c r="BG13" s="91"/>
      <c r="BH13" s="83"/>
      <c r="BI13" s="83"/>
      <c r="BJ13" s="83"/>
      <c r="BK13" s="83"/>
      <c r="BL13" s="83"/>
      <c r="BM13" s="83"/>
      <c r="BN13" s="83"/>
      <c r="BO13" s="83"/>
      <c r="BP13" s="83"/>
      <c r="BQ13" s="83"/>
      <c r="BR13" s="83"/>
      <c r="BS13" s="83"/>
    </row>
    <row r="14" spans="1:71" s="86" customFormat="1" ht="16" customHeight="1">
      <c r="A14" s="125" t="s">
        <v>69</v>
      </c>
      <c r="B14" s="125"/>
      <c r="C14" s="125"/>
      <c r="D14" s="125"/>
      <c r="E14" s="83"/>
      <c r="F14" s="83"/>
      <c r="G14" s="282" t="str">
        <f>AC12</f>
        <v>Ravenna port, Italy</v>
      </c>
      <c r="H14" s="282"/>
      <c r="I14" s="282"/>
      <c r="J14" s="282"/>
      <c r="K14" s="282"/>
      <c r="L14" s="282"/>
      <c r="M14" s="282"/>
      <c r="N14" s="282"/>
      <c r="O14" s="83"/>
      <c r="P14" s="83"/>
      <c r="Q14" s="83"/>
      <c r="R14" s="123"/>
      <c r="S14" s="123"/>
      <c r="T14" s="123"/>
      <c r="U14" s="123"/>
      <c r="V14" s="123"/>
      <c r="W14" s="123"/>
      <c r="X14" s="123"/>
      <c r="Y14" s="123"/>
      <c r="Z14" s="123"/>
      <c r="AB14" s="113" t="s">
        <v>249</v>
      </c>
      <c r="AC14" s="236" t="str" cm="1">
        <f t="array" ref="AC14">_xlfn.XLOOKUP(1,(客戶名稱!C:C=E10)*(客戶名稱!D:D=AA1)*(客戶名稱!E:E=E12),客戶名稱!G:G,"",0,1)</f>
        <v>STAINLESS STEEL HOT ROLLED COILS, DIN EN 10088-4 1.4301/1.4307, NO.1 FINISH MILL EDGE</v>
      </c>
      <c r="AT14" s="83"/>
      <c r="AU14" s="94"/>
      <c r="AV14" s="94"/>
      <c r="AW14" s="109"/>
      <c r="AX14" s="109"/>
      <c r="AY14" s="109"/>
      <c r="AZ14" s="109"/>
      <c r="BA14" s="109"/>
      <c r="BB14" s="109"/>
      <c r="BC14" s="109"/>
      <c r="BD14" s="109"/>
      <c r="BE14" s="109"/>
      <c r="BF14" s="109"/>
      <c r="BG14" s="109"/>
      <c r="BH14" s="83"/>
      <c r="BI14" s="83"/>
      <c r="BJ14" s="83"/>
      <c r="BK14" s="83"/>
      <c r="BL14" s="83"/>
      <c r="BM14" s="83"/>
      <c r="BN14" s="83"/>
      <c r="BO14" s="83"/>
      <c r="BP14" s="83"/>
      <c r="BQ14" s="83"/>
      <c r="BR14" s="83"/>
      <c r="BS14" s="83"/>
    </row>
    <row r="15" spans="1:71" s="86" customFormat="1" ht="16" customHeight="1">
      <c r="A15" s="134"/>
      <c r="B15" s="134"/>
      <c r="C15" s="134"/>
      <c r="D15" s="134"/>
      <c r="E15" s="83"/>
      <c r="F15" s="83"/>
      <c r="G15" s="109"/>
      <c r="H15" s="109"/>
      <c r="I15" s="109"/>
      <c r="J15" s="109"/>
      <c r="K15" s="109"/>
      <c r="L15" s="109"/>
      <c r="M15" s="109"/>
      <c r="N15" s="109"/>
      <c r="O15" s="83"/>
      <c r="P15" s="83"/>
      <c r="Q15" s="83"/>
      <c r="R15" s="123"/>
      <c r="S15" s="123"/>
      <c r="T15" s="123"/>
      <c r="U15" s="123"/>
      <c r="V15" s="123"/>
      <c r="W15" s="123"/>
      <c r="X15" s="123"/>
      <c r="Y15" s="123"/>
      <c r="Z15" s="123"/>
      <c r="AB15" s="113"/>
      <c r="AC15" s="236" t="str" cm="1">
        <f t="array" ref="AC15">_xlfn.XLOOKUP(1,(客戶名稱!C:C=E10)*(客戶名稱!D:D=AA1)*(客戶名稱!E:E=E12),客戶名稱!G:G,"",0,-1)</f>
        <v>STAINLESS STEEL HOT ROLLED COILS, DIN EN 10088-4 1.4301/1.4307, NO.1 FINISH MILL EDGE</v>
      </c>
      <c r="AT15" s="83"/>
      <c r="AU15" s="94"/>
      <c r="AV15" s="94"/>
      <c r="AW15" s="109"/>
      <c r="AX15" s="109"/>
      <c r="AY15" s="109"/>
      <c r="AZ15" s="109"/>
      <c r="BA15" s="109"/>
      <c r="BB15" s="109"/>
      <c r="BC15" s="109"/>
      <c r="BD15" s="109"/>
      <c r="BE15" s="109"/>
      <c r="BF15" s="109"/>
      <c r="BG15" s="109"/>
      <c r="BH15" s="83"/>
      <c r="BI15" s="83"/>
      <c r="BJ15" s="83"/>
      <c r="BK15" s="83"/>
      <c r="BL15" s="83"/>
      <c r="BM15" s="83"/>
      <c r="BN15" s="83"/>
      <c r="BO15" s="83"/>
      <c r="BP15" s="83"/>
      <c r="BQ15" s="83"/>
      <c r="BR15" s="83"/>
      <c r="BS15" s="83"/>
    </row>
    <row r="16" spans="1:71" s="86" customFormat="1" ht="16" customHeight="1">
      <c r="A16" s="238" t="s">
        <v>268</v>
      </c>
      <c r="B16" s="238"/>
      <c r="C16" s="238"/>
      <c r="D16" s="238"/>
      <c r="E16" s="283" t="str">
        <f>AC14</f>
        <v>STAINLESS STEEL HOT ROLLED COILS, DIN EN 10088-4 1.4301/1.4307, NO.1 FINISH MILL EDGE</v>
      </c>
      <c r="F16" s="283"/>
      <c r="G16" s="283"/>
      <c r="H16" s="283"/>
      <c r="I16" s="283"/>
      <c r="J16" s="283"/>
      <c r="K16" s="283"/>
      <c r="L16" s="283"/>
      <c r="M16" s="283"/>
      <c r="N16" s="283"/>
      <c r="O16" s="283"/>
      <c r="P16" s="283"/>
      <c r="Q16" s="283"/>
      <c r="R16" s="283"/>
      <c r="S16" s="283"/>
      <c r="T16" s="283"/>
      <c r="U16" s="283"/>
      <c r="V16" s="283"/>
      <c r="W16" s="283"/>
      <c r="X16" s="283"/>
      <c r="Y16" s="283"/>
      <c r="Z16" s="283"/>
      <c r="AB16" s="113" t="s">
        <v>250</v>
      </c>
      <c r="AC16" s="236" t="str" cm="1">
        <f t="array" ref="AC16">_xlfn.XLOOKUP(1,(客戶名稱!C:C=E10)*(客戶名稱!D:D=AA1)*(客戶名稱!E:E=E12),客戶名稱!K:K,"",0,1)</f>
        <v>Coils revealed to be labelled with the wording “--------, C.P.C. Inox Spa, Ravenna, Italy, CPC No., No., Made in Taiwan, etc.” at one side and on core package respectively.</v>
      </c>
      <c r="AT16" s="83"/>
      <c r="AU16" s="94"/>
      <c r="AV16" s="94"/>
      <c r="AW16" s="109"/>
      <c r="AX16" s="109"/>
      <c r="AY16" s="109"/>
      <c r="AZ16" s="109"/>
      <c r="BA16" s="109"/>
      <c r="BB16" s="109"/>
      <c r="BC16" s="109"/>
      <c r="BD16" s="109"/>
      <c r="BE16" s="109"/>
      <c r="BF16" s="109"/>
      <c r="BG16" s="109"/>
      <c r="BH16" s="83"/>
      <c r="BI16" s="83"/>
      <c r="BJ16" s="83"/>
      <c r="BK16" s="83"/>
      <c r="BL16" s="83"/>
      <c r="BM16" s="83"/>
      <c r="BN16" s="83"/>
      <c r="BO16" s="83"/>
      <c r="BP16" s="83"/>
      <c r="BQ16" s="83"/>
      <c r="BR16" s="83"/>
      <c r="BS16" s="83"/>
    </row>
    <row r="17" spans="1:71" s="86" customFormat="1" ht="16" customHeight="1">
      <c r="A17" s="134"/>
      <c r="B17" s="134"/>
      <c r="C17" s="134"/>
      <c r="D17" s="134"/>
      <c r="E17" s="83"/>
      <c r="F17" s="83"/>
      <c r="G17" s="109"/>
      <c r="H17" s="109"/>
      <c r="I17" s="109"/>
      <c r="J17" s="109"/>
      <c r="K17" s="109"/>
      <c r="L17" s="109"/>
      <c r="M17" s="109"/>
      <c r="N17" s="109"/>
      <c r="O17" s="83"/>
      <c r="P17" s="83"/>
      <c r="Q17" s="83"/>
      <c r="R17" s="123"/>
      <c r="S17" s="123"/>
      <c r="T17" s="123"/>
      <c r="U17" s="123"/>
      <c r="V17" s="123"/>
      <c r="W17" s="123"/>
      <c r="X17" s="123"/>
      <c r="Y17" s="123"/>
      <c r="Z17" s="123"/>
      <c r="AB17" s="113"/>
      <c r="AC17" s="236" t="str" cm="1">
        <f t="array" ref="AC17">_xlfn.XLOOKUP(1,(客戶名稱!C:C=E10)*(客戶名稱!D:D=AA1)*(客戶名稱!E:E=E12),客戶名稱!K:K,"",0,-1)</f>
        <v>Coils revealed to be labelled with the wording “--------, C.P.C. Inox Spa, Ravenna, Italy, CPC No., No., Made in Taiwan, etc.” at one side and on core package respectively.</v>
      </c>
      <c r="AT17" s="83"/>
      <c r="AU17" s="94"/>
      <c r="AV17" s="94"/>
      <c r="AW17" s="109"/>
      <c r="AX17" s="109"/>
      <c r="AY17" s="109"/>
      <c r="AZ17" s="109"/>
      <c r="BA17" s="109"/>
      <c r="BB17" s="109"/>
      <c r="BC17" s="109"/>
      <c r="BD17" s="109"/>
      <c r="BE17" s="109"/>
      <c r="BF17" s="109"/>
      <c r="BG17" s="109"/>
      <c r="BH17" s="83"/>
      <c r="BI17" s="83"/>
      <c r="BJ17" s="83"/>
      <c r="BK17" s="83"/>
      <c r="BL17" s="83"/>
      <c r="BM17" s="83"/>
      <c r="BN17" s="83"/>
      <c r="BO17" s="83"/>
      <c r="BP17" s="83"/>
      <c r="BQ17" s="83"/>
      <c r="BR17" s="83"/>
      <c r="BS17" s="83"/>
    </row>
    <row r="18" spans="1:71" s="86" customFormat="1" ht="16" customHeight="1">
      <c r="A18" s="238" t="s">
        <v>35</v>
      </c>
      <c r="B18" s="238"/>
      <c r="C18" s="238"/>
      <c r="D18" s="238"/>
      <c r="E18" s="269" t="str">
        <f>AC16</f>
        <v>Coils revealed to be labelled with the wording “--------, C.P.C. Inox Spa, Ravenna, Italy, CPC No., No., Made in Taiwan, etc.” at one side and on core package respectively.</v>
      </c>
      <c r="F18" s="269"/>
      <c r="G18" s="269"/>
      <c r="H18" s="269"/>
      <c r="I18" s="269"/>
      <c r="J18" s="269"/>
      <c r="K18" s="269"/>
      <c r="L18" s="269"/>
      <c r="M18" s="269"/>
      <c r="N18" s="269"/>
      <c r="O18" s="269"/>
      <c r="P18" s="269"/>
      <c r="Q18" s="269"/>
      <c r="R18" s="269"/>
      <c r="S18" s="269"/>
      <c r="T18" s="269"/>
      <c r="U18" s="269"/>
      <c r="V18" s="269"/>
      <c r="W18" s="269"/>
      <c r="X18" s="269"/>
      <c r="Y18" s="269"/>
      <c r="Z18" s="269"/>
      <c r="AC18" s="236" t="str" cm="1">
        <f t="array" ref="AC18">_xlfn.XLOOKUP(1,(客戶名稱!C:C=E10)*(客戶名稱!D:D=AA1)*(客戶名稱!E:E=E12),客戶名稱!K:K,"",0,-1)</f>
        <v>Coils revealed to be labelled with the wording “--------, C.P.C. Inox Spa, Ravenna, Italy, CPC No., No., Made in Taiwan, etc.” at one side and on core package respectively.</v>
      </c>
      <c r="AT18" s="83"/>
      <c r="AU18" s="83"/>
      <c r="AV18" s="83"/>
      <c r="AW18" s="83"/>
      <c r="AX18" s="83"/>
      <c r="AY18" s="91"/>
      <c r="AZ18" s="91"/>
      <c r="BA18" s="91"/>
      <c r="BB18" s="91"/>
      <c r="BC18" s="91"/>
      <c r="BD18" s="91"/>
      <c r="BE18" s="91"/>
      <c r="BF18" s="91"/>
      <c r="BG18" s="91"/>
      <c r="BH18" s="91"/>
      <c r="BI18" s="91"/>
      <c r="BJ18" s="91"/>
      <c r="BK18" s="91"/>
      <c r="BL18" s="91"/>
      <c r="BM18" s="91"/>
      <c r="BN18" s="91"/>
      <c r="BO18" s="91"/>
      <c r="BP18" s="91"/>
      <c r="BQ18" s="91"/>
      <c r="BR18" s="91"/>
      <c r="BS18" s="91"/>
    </row>
    <row r="19" spans="1:71" s="86" customFormat="1" ht="16" customHeight="1">
      <c r="A19" s="134"/>
      <c r="B19" s="134"/>
      <c r="C19" s="134"/>
      <c r="D19" s="134"/>
      <c r="E19" s="269"/>
      <c r="F19" s="269"/>
      <c r="G19" s="269"/>
      <c r="H19" s="269"/>
      <c r="I19" s="269"/>
      <c r="J19" s="269"/>
      <c r="K19" s="269"/>
      <c r="L19" s="269"/>
      <c r="M19" s="269"/>
      <c r="N19" s="269"/>
      <c r="O19" s="269"/>
      <c r="P19" s="269"/>
      <c r="Q19" s="269"/>
      <c r="R19" s="269"/>
      <c r="S19" s="269"/>
      <c r="T19" s="269"/>
      <c r="U19" s="269"/>
      <c r="V19" s="269"/>
      <c r="W19" s="269"/>
      <c r="X19" s="269"/>
      <c r="Y19" s="269"/>
      <c r="Z19" s="269"/>
      <c r="AT19" s="83"/>
      <c r="AU19" s="83"/>
      <c r="AV19" s="83"/>
      <c r="AW19" s="83"/>
      <c r="AX19" s="83"/>
      <c r="AY19" s="109"/>
      <c r="AZ19" s="109"/>
      <c r="BA19" s="109"/>
      <c r="BB19" s="109"/>
      <c r="BC19" s="109"/>
      <c r="BD19" s="109"/>
      <c r="BE19" s="109"/>
      <c r="BF19" s="109"/>
      <c r="BG19" s="109"/>
      <c r="BH19" s="109"/>
      <c r="BI19" s="109"/>
      <c r="BJ19" s="109"/>
      <c r="BK19" s="109"/>
      <c r="BL19" s="109"/>
      <c r="BM19" s="109"/>
      <c r="BN19" s="109"/>
      <c r="BO19" s="109"/>
      <c r="BP19" s="109"/>
      <c r="BQ19" s="109"/>
      <c r="BR19" s="109"/>
      <c r="BS19" s="109"/>
    </row>
    <row r="20" spans="1:71" s="86" customFormat="1" ht="16" customHeight="1">
      <c r="A20" s="238" t="s">
        <v>33</v>
      </c>
      <c r="B20" s="238"/>
      <c r="C20" s="238"/>
      <c r="D20" s="238"/>
      <c r="E20" s="269" t="str">
        <f>AC20</f>
        <v>Each vertical coil wrapped in a metal envelope with 4 protection steel rings along upper-outer/-eye rims, then secured with 3 cycle and 2 eye flat metal strapping bands on a wooden pallet.</v>
      </c>
      <c r="F20" s="269"/>
      <c r="G20" s="269"/>
      <c r="H20" s="269"/>
      <c r="I20" s="269"/>
      <c r="J20" s="269"/>
      <c r="K20" s="269"/>
      <c r="L20" s="269"/>
      <c r="M20" s="269"/>
      <c r="N20" s="269"/>
      <c r="O20" s="269"/>
      <c r="P20" s="269"/>
      <c r="Q20" s="269"/>
      <c r="R20" s="269"/>
      <c r="S20" s="269"/>
      <c r="T20" s="269"/>
      <c r="U20" s="269"/>
      <c r="V20" s="269"/>
      <c r="W20" s="269"/>
      <c r="X20" s="269"/>
      <c r="Y20" s="269"/>
      <c r="Z20" s="269"/>
      <c r="AB20" s="113" t="s">
        <v>263</v>
      </c>
      <c r="AC20" s="237" t="str">
        <f>IF(A23=AB22,_xlfn.XLOOKUP(I23,AC22:AC24,AD22:AD24,"",0,1),IF(A23=AB25,AD25,IF(A23=AB26,AD26,"???")))</f>
        <v>Each vertical coil wrapped in a metal envelope with 4 protection steel rings along upper-outer/-eye rims, then secured with 3 cycle and 2 eye flat metal strapping bands on a wooden pallet.</v>
      </c>
      <c r="AT20" s="83"/>
      <c r="AU20" s="83"/>
      <c r="AV20" s="83"/>
      <c r="AW20" s="83"/>
      <c r="AX20" s="83"/>
      <c r="AY20" s="109"/>
      <c r="AZ20" s="109"/>
      <c r="BA20" s="109"/>
      <c r="BB20" s="109"/>
      <c r="BC20" s="109"/>
      <c r="BD20" s="109"/>
      <c r="BE20" s="109"/>
      <c r="BF20" s="109"/>
      <c r="BG20" s="109"/>
      <c r="BH20" s="109"/>
      <c r="BI20" s="109"/>
      <c r="BJ20" s="109"/>
      <c r="BK20" s="109"/>
      <c r="BL20" s="109"/>
      <c r="BM20" s="109"/>
      <c r="BN20" s="109"/>
      <c r="BO20" s="109"/>
      <c r="BP20" s="109"/>
      <c r="BQ20" s="109"/>
      <c r="BR20" s="109"/>
      <c r="BS20" s="109"/>
    </row>
    <row r="21" spans="1:71" s="86" customFormat="1" ht="16" customHeight="1">
      <c r="A21" s="134"/>
      <c r="B21" s="134"/>
      <c r="C21" s="134"/>
      <c r="D21" s="134"/>
      <c r="E21" s="269"/>
      <c r="F21" s="269"/>
      <c r="G21" s="269"/>
      <c r="H21" s="269"/>
      <c r="I21" s="269"/>
      <c r="J21" s="269"/>
      <c r="K21" s="269"/>
      <c r="L21" s="269"/>
      <c r="M21" s="269"/>
      <c r="N21" s="269"/>
      <c r="O21" s="269"/>
      <c r="P21" s="269"/>
      <c r="Q21" s="269"/>
      <c r="R21" s="269"/>
      <c r="S21" s="269"/>
      <c r="T21" s="269"/>
      <c r="U21" s="269"/>
      <c r="V21" s="269"/>
      <c r="W21" s="269"/>
      <c r="X21" s="269"/>
      <c r="Y21" s="269"/>
      <c r="Z21" s="269"/>
      <c r="AT21" s="83"/>
      <c r="AU21" s="83"/>
      <c r="AV21" s="83"/>
      <c r="AW21" s="83"/>
      <c r="AX21" s="83"/>
      <c r="AY21" s="109"/>
      <c r="AZ21" s="109"/>
      <c r="BA21" s="109"/>
      <c r="BB21" s="109"/>
      <c r="BC21" s="109"/>
      <c r="BD21" s="109"/>
      <c r="BE21" s="109"/>
      <c r="BF21" s="109"/>
      <c r="BG21" s="109"/>
      <c r="BH21" s="109"/>
      <c r="BI21" s="109"/>
      <c r="BJ21" s="109"/>
      <c r="BK21" s="109"/>
      <c r="BL21" s="109"/>
      <c r="BM21" s="109"/>
      <c r="BN21" s="109"/>
      <c r="BO21" s="109"/>
      <c r="BP21" s="109"/>
      <c r="BQ21" s="109"/>
      <c r="BR21" s="109"/>
      <c r="BS21" s="109"/>
    </row>
    <row r="22" spans="1:71" s="86" customFormat="1" ht="17.5" customHeight="1" thickBot="1">
      <c r="E22" s="269"/>
      <c r="F22" s="269"/>
      <c r="G22" s="269"/>
      <c r="H22" s="269"/>
      <c r="I22" s="269"/>
      <c r="J22" s="269"/>
      <c r="K22" s="269"/>
      <c r="L22" s="269"/>
      <c r="M22" s="269"/>
      <c r="N22" s="269"/>
      <c r="O22" s="269"/>
      <c r="P22" s="269"/>
      <c r="Q22" s="269"/>
      <c r="R22" s="269"/>
      <c r="S22" s="269"/>
      <c r="T22" s="269"/>
      <c r="U22" s="269"/>
      <c r="V22" s="269"/>
      <c r="W22" s="269"/>
      <c r="X22" s="269"/>
      <c r="Y22" s="269"/>
      <c r="Z22" s="269"/>
      <c r="AB22" s="106" t="s">
        <v>255</v>
      </c>
      <c r="AC22" s="86" t="s">
        <v>261</v>
      </c>
      <c r="AD22" s="86" t="str">
        <f>"Each horizontal coil wrapped in a metal envelope with 4 outer and core protection steel rings, then secured "&amp;P23&amp;" radial and "&amp;S23&amp;" cycle flat metal strapping bands."</f>
        <v>Each horizontal coil wrapped in a metal envelope with 4 outer and core protection steel rings, then secured 2 radial and 3 cycle flat metal strapping bands.</v>
      </c>
      <c r="AT22" s="83"/>
      <c r="AU22" s="94"/>
      <c r="AV22" s="94"/>
      <c r="AW22" s="91"/>
      <c r="AX22" s="91"/>
      <c r="AY22" s="91"/>
      <c r="AZ22" s="91"/>
      <c r="BA22" s="91"/>
      <c r="BB22" s="91"/>
      <c r="BC22" s="91"/>
      <c r="BD22" s="91"/>
      <c r="BE22" s="91"/>
      <c r="BF22" s="91"/>
      <c r="BG22" s="91"/>
      <c r="BH22" s="83"/>
      <c r="BI22" s="83"/>
      <c r="BJ22" s="83"/>
      <c r="BK22" s="83"/>
      <c r="BL22" s="83"/>
      <c r="BM22" s="83"/>
      <c r="BN22" s="83"/>
      <c r="BO22" s="83"/>
      <c r="BP22" s="83"/>
      <c r="BQ22" s="83"/>
      <c r="BR22" s="83"/>
      <c r="BS22" s="83"/>
    </row>
    <row r="23" spans="1:71" s="86" customFormat="1" ht="16" customHeight="1" thickBot="1">
      <c r="A23" s="259" t="s">
        <v>373</v>
      </c>
      <c r="B23" s="240"/>
      <c r="C23" s="240"/>
      <c r="D23" s="260"/>
      <c r="E23" s="284" t="str">
        <f>IF(A23="平放&amp;直立","平放",A23)</f>
        <v>直立</v>
      </c>
      <c r="F23" s="244"/>
      <c r="G23" s="140" t="s">
        <v>254</v>
      </c>
      <c r="H23" s="83"/>
      <c r="I23" s="239" t="s">
        <v>664</v>
      </c>
      <c r="J23" s="239"/>
      <c r="K23" s="239"/>
      <c r="L23" s="239"/>
      <c r="M23" s="239"/>
      <c r="N23" s="83"/>
      <c r="O23" s="83"/>
      <c r="P23" s="143">
        <v>2</v>
      </c>
      <c r="Q23" s="273" t="s">
        <v>257</v>
      </c>
      <c r="R23" s="273"/>
      <c r="S23" s="143">
        <v>3</v>
      </c>
      <c r="T23" s="273" t="s">
        <v>258</v>
      </c>
      <c r="U23" s="273"/>
      <c r="V23" s="141" t="str">
        <f>IF(E23="直立","板","")</f>
        <v>板</v>
      </c>
      <c r="W23" s="268" t="s">
        <v>303</v>
      </c>
      <c r="X23" s="268"/>
      <c r="Y23" s="268"/>
      <c r="Z23" s="268"/>
      <c r="AB23" s="106" t="s">
        <v>255</v>
      </c>
      <c r="AC23" s="86" t="s">
        <v>260</v>
      </c>
      <c r="AD23" s="86" t="str">
        <f>"Each horizontal coil wrapped in a moisture-resistance plasticized Kraft envelope with circumferential metal sheet, both side cardboard discs, and four outer and core protection steel rings, then secured with "&amp;S23&amp;" cycle flat plastic bands as well as "&amp; P23 &amp;" radial flat metal strapping bands."</f>
        <v>Each horizontal coil wrapped in a moisture-resistance plasticized Kraft envelope with circumferential metal sheet, both side cardboard discs, and four outer and core protection steel rings, then secured with 3 cycle flat plastic bands as well as 2 radial flat metal strapping bands.</v>
      </c>
      <c r="AT23" s="83"/>
      <c r="AU23" s="83"/>
      <c r="AV23" s="83"/>
      <c r="AW23" s="83"/>
      <c r="AX23" s="83"/>
      <c r="AY23" s="109"/>
      <c r="AZ23" s="109"/>
      <c r="BA23" s="109"/>
      <c r="BB23" s="109"/>
      <c r="BC23" s="109"/>
      <c r="BD23" s="109"/>
      <c r="BE23" s="109"/>
      <c r="BF23" s="109"/>
      <c r="BG23" s="109"/>
      <c r="BH23" s="109"/>
      <c r="BI23" s="109"/>
      <c r="BJ23" s="109"/>
      <c r="BK23" s="109"/>
      <c r="BL23" s="109"/>
      <c r="BM23" s="109"/>
      <c r="BN23" s="109"/>
      <c r="BO23" s="109"/>
      <c r="BP23" s="109"/>
      <c r="BQ23" s="109"/>
      <c r="BR23" s="109"/>
      <c r="BS23" s="109"/>
    </row>
    <row r="24" spans="1:71" s="86" customFormat="1" ht="16" customHeight="1" thickBot="1">
      <c r="A24" s="125"/>
      <c r="B24" s="126"/>
      <c r="C24" s="126"/>
      <c r="D24" s="126"/>
      <c r="E24" s="285" t="str">
        <f>IF(A23="平放&amp;直立","直立","")</f>
        <v/>
      </c>
      <c r="F24" s="286"/>
      <c r="G24" s="83" t="str">
        <f>IF(E24="","","包材:")</f>
        <v/>
      </c>
      <c r="H24" s="109"/>
      <c r="I24" s="240"/>
      <c r="J24" s="240"/>
      <c r="K24" s="240"/>
      <c r="L24" s="240"/>
      <c r="M24" s="240"/>
      <c r="N24" s="83"/>
      <c r="O24" s="83"/>
      <c r="P24" s="143"/>
      <c r="Q24" s="273" t="str">
        <f>IF(E24="","","eye")</f>
        <v/>
      </c>
      <c r="R24" s="273"/>
      <c r="S24" s="143"/>
      <c r="T24" s="273" t="str">
        <f>IF(E24="","","cycle")</f>
        <v/>
      </c>
      <c r="U24" s="273"/>
      <c r="V24" s="141" t="str">
        <f>IF(E24="","","板")</f>
        <v/>
      </c>
      <c r="W24" s="268"/>
      <c r="X24" s="268"/>
      <c r="Y24" s="268"/>
      <c r="Z24" s="268"/>
      <c r="AB24" s="106" t="s">
        <v>255</v>
      </c>
      <c r="AC24" s="86" t="s">
        <v>296</v>
      </c>
      <c r="AD24" s="86" t="str">
        <f>"Each horizontal coil wrapped in a moisture-resistance plasticized Kraft envelope with circumferential metal sheet, both side cardboard discs or wrapped in a metal envelope with 4 outer and core protection steel rings, then secured "&amp;P23&amp;" radial and "&amp;S23&amp;" cycle flat metal strapping bands."</f>
        <v>Each horizontal coil wrapped in a moisture-resistance plasticized Kraft envelope with circumferential metal sheet, both side cardboard discs or wrapped in a metal envelope with 4 outer and core protection steel rings, then secured 2 radial and 3 cycle flat metal strapping bands.</v>
      </c>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row>
    <row r="25" spans="1:71" s="86" customFormat="1" ht="16" customHeight="1">
      <c r="B25" s="94"/>
      <c r="C25" s="94"/>
      <c r="D25" s="83"/>
      <c r="E25" s="83"/>
      <c r="F25" s="83"/>
      <c r="G25" s="83"/>
      <c r="H25" s="83"/>
      <c r="I25" s="83"/>
      <c r="J25" s="83"/>
      <c r="K25" s="83"/>
      <c r="L25" s="83"/>
      <c r="M25" s="83"/>
      <c r="N25" s="83"/>
      <c r="O25" s="83"/>
      <c r="P25" s="83"/>
      <c r="Q25" s="83"/>
      <c r="R25" s="83"/>
      <c r="S25" s="238"/>
      <c r="T25" s="238"/>
      <c r="U25" s="238"/>
      <c r="AB25" s="106" t="s">
        <v>256</v>
      </c>
      <c r="AC25" s="86" t="s">
        <v>261</v>
      </c>
      <c r="AD25" s="86" t="str">
        <f>"Each vertical coil wrapped in a metal envelope with 4 protection steel rings along upper-outer/-eye rims, then secured with "&amp;S23&amp;" cycle and "&amp;P23&amp;" eye flat metal strapping bands on a "&amp;W23&amp;"."</f>
        <v>Each vertical coil wrapped in a metal envelope with 4 protection steel rings along upper-outer/-eye rims, then secured with 3 cycle and 2 eye flat metal strapping bands on a wooden pallet.</v>
      </c>
      <c r="AT25" s="83"/>
      <c r="AU25" s="83"/>
      <c r="AV25" s="83"/>
      <c r="AW25" s="83"/>
      <c r="AX25" s="83"/>
      <c r="AY25" s="83"/>
      <c r="AZ25" s="92"/>
      <c r="BA25" s="92"/>
      <c r="BB25" s="92"/>
      <c r="BC25" s="83"/>
      <c r="BD25" s="91"/>
      <c r="BE25" s="91"/>
      <c r="BF25" s="91"/>
      <c r="BG25" s="91"/>
      <c r="BH25" s="91"/>
      <c r="BI25" s="91"/>
      <c r="BJ25" s="91"/>
      <c r="BK25" s="83"/>
      <c r="BL25" s="83"/>
      <c r="BM25" s="83"/>
      <c r="BN25" s="83"/>
      <c r="BO25" s="83"/>
      <c r="BP25" s="83"/>
      <c r="BQ25" s="83"/>
      <c r="BR25" s="83"/>
      <c r="BS25" s="83"/>
    </row>
    <row r="26" spans="1:71" s="86" customFormat="1" ht="16" customHeight="1">
      <c r="A26" s="123" t="s">
        <v>251</v>
      </c>
      <c r="B26" s="83"/>
      <c r="C26" s="83"/>
      <c r="D26" s="83"/>
      <c r="I26" s="86" t="s">
        <v>21</v>
      </c>
      <c r="J26" s="255" t="s">
        <v>282</v>
      </c>
      <c r="K26" s="255"/>
      <c r="L26" s="255"/>
      <c r="M26" s="244" t="s">
        <v>22</v>
      </c>
      <c r="N26" s="244"/>
      <c r="O26" s="256">
        <v>45383</v>
      </c>
      <c r="P26" s="256"/>
      <c r="Q26" s="256"/>
      <c r="R26" s="256"/>
      <c r="S26" s="256"/>
      <c r="T26" s="256"/>
      <c r="AB26" s="142" t="s">
        <v>262</v>
      </c>
      <c r="AD26" s="86" t="str">
        <f>"Each vertical or horizontal coil in a metal envelope with 4 protection steel rings along upper-outer/-eye rims (vertical coil) or outer/eye rims (horizontal coil), then secured with "&amp; S24&amp;" cycle/ "&amp;P24&amp;" eye (vertical coil) or "&amp;S23&amp;" cycle/ "&amp;P23&amp;" eye (horizontal coil) flat metal strapping bands on a "&amp;W24&amp; "(vertical coil only). "</f>
        <v xml:space="preserve">Each vertical or horizontal coil in a metal envelope with 4 protection steel rings along upper-outer/-eye rims (vertical coil) or outer/eye rims (horizontal coil), then secured with  cycle/  eye (vertical coil) or 3 cycle/ 2 eye (horizontal coil) flat metal strapping bands on a (vertical coil only). </v>
      </c>
      <c r="AT26" s="83"/>
      <c r="AU26" s="83"/>
      <c r="AV26" s="83"/>
      <c r="AW26" s="83"/>
      <c r="AX26" s="83"/>
      <c r="AY26" s="83"/>
      <c r="AZ26" s="92"/>
      <c r="BA26" s="92"/>
      <c r="BB26" s="92"/>
      <c r="BC26" s="83"/>
      <c r="BD26" s="91"/>
      <c r="BE26" s="91"/>
      <c r="BF26" s="91"/>
      <c r="BG26" s="91"/>
      <c r="BH26" s="91"/>
      <c r="BI26" s="91"/>
      <c r="BJ26" s="91"/>
      <c r="BK26" s="83"/>
      <c r="BL26" s="83"/>
      <c r="BM26" s="83"/>
      <c r="BN26" s="83"/>
      <c r="BO26" s="83"/>
      <c r="BP26" s="83"/>
      <c r="BQ26" s="83"/>
      <c r="BR26" s="83"/>
      <c r="BS26" s="83"/>
    </row>
    <row r="27" spans="1:71" s="86" customFormat="1" ht="16" customHeight="1">
      <c r="A27" s="123" t="s">
        <v>252</v>
      </c>
      <c r="B27" s="83"/>
      <c r="C27" s="83"/>
      <c r="D27" s="83"/>
      <c r="E27" s="83"/>
      <c r="F27" s="83"/>
      <c r="G27" s="83"/>
      <c r="I27" s="86" t="s">
        <v>21</v>
      </c>
      <c r="J27" s="255"/>
      <c r="K27" s="255"/>
      <c r="L27" s="255"/>
      <c r="M27" s="244" t="s">
        <v>22</v>
      </c>
      <c r="N27" s="244"/>
      <c r="O27" s="256">
        <v>45385</v>
      </c>
      <c r="P27" s="256"/>
      <c r="Q27" s="256"/>
      <c r="R27" s="256"/>
      <c r="S27" s="256"/>
      <c r="T27" s="256"/>
      <c r="AT27" s="83"/>
      <c r="AU27" s="83"/>
      <c r="AV27" s="83"/>
      <c r="AW27" s="83"/>
      <c r="AX27" s="83"/>
      <c r="AY27" s="83"/>
      <c r="AZ27" s="92"/>
      <c r="BA27" s="92"/>
      <c r="BB27" s="92"/>
      <c r="BC27" s="83"/>
      <c r="BD27" s="91"/>
      <c r="BE27" s="91"/>
      <c r="BF27" s="91"/>
      <c r="BG27" s="91"/>
      <c r="BH27" s="91"/>
      <c r="BI27" s="91"/>
      <c r="BJ27" s="91"/>
      <c r="BK27" s="83"/>
      <c r="BL27" s="83"/>
      <c r="BM27" s="83"/>
      <c r="BN27" s="83"/>
      <c r="BO27" s="83"/>
      <c r="BP27" s="83"/>
      <c r="BQ27" s="83"/>
      <c r="BR27" s="83"/>
      <c r="BS27" s="83"/>
    </row>
    <row r="28" spans="1:71" s="86" customFormat="1" ht="16" customHeight="1">
      <c r="A28" s="123" t="s">
        <v>253</v>
      </c>
      <c r="D28" s="83"/>
      <c r="E28" s="83"/>
      <c r="F28" s="83"/>
      <c r="I28" s="86" t="s">
        <v>21</v>
      </c>
      <c r="J28" s="255" t="s">
        <v>283</v>
      </c>
      <c r="K28" s="255"/>
      <c r="L28" s="255"/>
      <c r="M28" s="244" t="s">
        <v>22</v>
      </c>
      <c r="N28" s="244"/>
      <c r="O28" s="256">
        <v>45385</v>
      </c>
      <c r="P28" s="256"/>
      <c r="Q28" s="256"/>
      <c r="R28" s="256"/>
      <c r="S28" s="256"/>
      <c r="T28" s="256"/>
      <c r="U28" s="83"/>
      <c r="V28" s="83"/>
      <c r="W28" s="83"/>
      <c r="X28" s="83"/>
      <c r="Y28" s="83"/>
      <c r="Z28" s="83"/>
      <c r="AB28" s="86" t="s">
        <v>36</v>
      </c>
      <c r="AC28" s="86" t="s">
        <v>49</v>
      </c>
      <c r="AP28" s="81" t="s">
        <v>87</v>
      </c>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row>
    <row r="29" spans="1:71" s="86" customFormat="1" ht="16" customHeight="1">
      <c r="A29" s="123" t="s">
        <v>23</v>
      </c>
      <c r="D29" s="83"/>
      <c r="E29" s="83"/>
      <c r="F29" s="83"/>
      <c r="I29" s="86" t="s">
        <v>21</v>
      </c>
      <c r="J29" s="267" t="s">
        <v>304</v>
      </c>
      <c r="K29" s="267"/>
      <c r="L29" s="267"/>
      <c r="M29" s="267"/>
      <c r="N29" s="267"/>
      <c r="O29" s="267"/>
      <c r="Q29" s="270" t="str">
        <f>IF(M29="",J29,J29&amp;" and "&amp;M29)</f>
        <v>Cloudy</v>
      </c>
      <c r="R29" s="270"/>
      <c r="S29" s="270"/>
      <c r="T29" s="270"/>
      <c r="U29" s="270"/>
      <c r="V29" s="270"/>
      <c r="W29" s="270"/>
      <c r="X29" s="270"/>
      <c r="Y29" s="270"/>
      <c r="Z29" s="83"/>
      <c r="AB29" s="86" t="s">
        <v>37</v>
      </c>
      <c r="AC29" s="86" t="s">
        <v>50</v>
      </c>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row>
    <row r="30" spans="1:71" s="86" customFormat="1" ht="16" customHeight="1">
      <c r="A30" s="123" t="s">
        <v>264</v>
      </c>
      <c r="D30" s="83"/>
      <c r="E30" s="83"/>
      <c r="F30" s="83"/>
      <c r="I30" s="86" t="s">
        <v>21</v>
      </c>
      <c r="J30" s="255"/>
      <c r="K30" s="255"/>
      <c r="L30" s="255"/>
      <c r="M30" s="83"/>
      <c r="Q30" s="84"/>
      <c r="R30" s="84"/>
      <c r="S30" s="84"/>
      <c r="T30" s="84"/>
      <c r="U30" s="84"/>
      <c r="V30" s="84"/>
      <c r="W30" s="84"/>
      <c r="X30" s="84"/>
      <c r="Y30" s="84"/>
      <c r="Z30" s="83"/>
      <c r="AB30" s="86" t="s">
        <v>38</v>
      </c>
      <c r="AC30" s="86" t="s">
        <v>51</v>
      </c>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row>
    <row r="31" spans="1:71" s="86" customFormat="1" ht="16" customHeight="1">
      <c r="A31" s="123" t="s">
        <v>265</v>
      </c>
      <c r="B31" s="123"/>
      <c r="C31" s="123"/>
      <c r="D31" s="123"/>
      <c r="I31" s="86" t="s">
        <v>21</v>
      </c>
      <c r="J31" s="255"/>
      <c r="K31" s="255"/>
      <c r="L31" s="255"/>
      <c r="AB31" s="86" t="s">
        <v>39</v>
      </c>
      <c r="AC31" s="86" t="s">
        <v>52</v>
      </c>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row>
    <row r="32" spans="1:71" s="86" customFormat="1" ht="16" customHeight="1">
      <c r="A32" s="84"/>
      <c r="B32" s="84"/>
      <c r="C32" s="84"/>
      <c r="D32" s="92"/>
      <c r="E32" s="92"/>
      <c r="F32" s="92"/>
      <c r="G32" s="92"/>
      <c r="H32" s="92"/>
      <c r="I32" s="92"/>
      <c r="J32" s="92"/>
      <c r="K32" s="92"/>
      <c r="L32" s="92"/>
      <c r="M32" s="92"/>
      <c r="N32" s="92"/>
      <c r="O32" s="92"/>
      <c r="P32" s="92"/>
      <c r="Q32" s="92"/>
      <c r="R32" s="92"/>
      <c r="S32" s="92"/>
      <c r="T32" s="92"/>
      <c r="U32" s="92"/>
      <c r="V32" s="92"/>
      <c r="W32" s="92"/>
      <c r="X32" s="92"/>
      <c r="Y32" s="92"/>
      <c r="Z32" s="92"/>
      <c r="AB32" s="86" t="s">
        <v>40</v>
      </c>
      <c r="AC32" s="86" t="s">
        <v>53</v>
      </c>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row>
    <row r="33" spans="1:71" s="86" customFormat="1" ht="16" customHeight="1">
      <c r="A33" s="84"/>
      <c r="B33" s="84"/>
      <c r="C33" s="84"/>
      <c r="D33" s="92"/>
      <c r="E33" s="92"/>
      <c r="F33" s="92"/>
      <c r="G33" s="92"/>
      <c r="H33" s="92"/>
      <c r="I33" s="92"/>
      <c r="J33" s="92"/>
      <c r="K33" s="92"/>
      <c r="L33" s="92"/>
      <c r="M33" s="92"/>
      <c r="N33" s="92"/>
      <c r="O33" s="92"/>
      <c r="P33" s="92"/>
      <c r="Q33" s="92"/>
      <c r="R33" s="92"/>
      <c r="S33" s="92"/>
      <c r="T33" s="92"/>
      <c r="AB33" s="86" t="s">
        <v>41</v>
      </c>
      <c r="AC33" s="86" t="s">
        <v>54</v>
      </c>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row>
    <row r="34" spans="1:71" s="86" customFormat="1" ht="16" customHeight="1">
      <c r="A34" s="83"/>
      <c r="B34" s="83"/>
      <c r="C34" s="83"/>
      <c r="D34" s="83"/>
      <c r="E34" s="83"/>
      <c r="F34" s="83"/>
      <c r="G34" s="83"/>
      <c r="H34" s="83"/>
      <c r="I34" s="83"/>
      <c r="J34" s="83"/>
      <c r="K34" s="83"/>
      <c r="L34" s="83"/>
      <c r="M34" s="83"/>
      <c r="N34" s="83"/>
      <c r="O34" s="83"/>
      <c r="P34" s="83"/>
      <c r="Q34" s="83"/>
      <c r="R34" s="83"/>
      <c r="S34" s="83"/>
      <c r="T34" s="83"/>
      <c r="U34" s="286" t="s">
        <v>55</v>
      </c>
      <c r="V34" s="286"/>
      <c r="W34" s="267" t="s">
        <v>654</v>
      </c>
      <c r="X34" s="267"/>
      <c r="Y34" s="267"/>
      <c r="Z34" s="267"/>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row>
    <row r="35" spans="1:71" s="86" customFormat="1" ht="16" customHeight="1">
      <c r="A35" s="287" t="s">
        <v>43</v>
      </c>
      <c r="B35" s="287"/>
      <c r="C35" s="287"/>
      <c r="D35" s="287"/>
      <c r="E35" s="288" t="s">
        <v>42</v>
      </c>
      <c r="F35" s="289"/>
      <c r="G35" s="289"/>
      <c r="H35" s="290"/>
      <c r="I35" s="288" t="s">
        <v>72</v>
      </c>
      <c r="J35" s="289"/>
      <c r="K35" s="289"/>
      <c r="L35" s="290"/>
      <c r="M35" s="288" t="s">
        <v>48</v>
      </c>
      <c r="N35" s="289"/>
      <c r="O35" s="289"/>
      <c r="P35" s="290"/>
      <c r="Q35" s="288" t="s">
        <v>64</v>
      </c>
      <c r="R35" s="289"/>
      <c r="S35" s="289"/>
      <c r="T35" s="290"/>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row>
    <row r="36" spans="1:71" s="86" customFormat="1" ht="16" customHeight="1">
      <c r="A36" s="276">
        <v>1001</v>
      </c>
      <c r="B36" s="276"/>
      <c r="C36" s="276"/>
      <c r="D36" s="276"/>
      <c r="E36" s="252" t="s">
        <v>65</v>
      </c>
      <c r="F36" s="253"/>
      <c r="G36" s="253"/>
      <c r="H36" s="254"/>
      <c r="I36" s="271">
        <v>1000.5549999999999</v>
      </c>
      <c r="J36" s="272"/>
      <c r="K36" s="272"/>
      <c r="L36" s="95" t="str">
        <f t="shared" ref="L36:L51" si="0">IF(I36="","","MT")</f>
        <v>MT</v>
      </c>
      <c r="M36" s="271">
        <v>1001.556</v>
      </c>
      <c r="N36" s="272"/>
      <c r="O36" s="272"/>
      <c r="P36" s="95" t="str">
        <f t="shared" ref="P36:P51" si="1">IF(M36="","","MT")</f>
        <v>MT</v>
      </c>
      <c r="Q36" s="257">
        <v>2</v>
      </c>
      <c r="R36" s="258"/>
      <c r="S36" s="274" t="str">
        <f>IF($A36="","",AB36)</f>
        <v>coils</v>
      </c>
      <c r="T36" s="275"/>
      <c r="AB36" s="86" t="str">
        <f>IF(Q36&gt;1,$W$34&amp;"s",$W$34)</f>
        <v>coils</v>
      </c>
      <c r="AD36" s="86" t="s">
        <v>654</v>
      </c>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row>
    <row r="37" spans="1:71" s="86" customFormat="1" ht="16" customHeight="1">
      <c r="A37" s="276">
        <v>1002</v>
      </c>
      <c r="B37" s="276"/>
      <c r="C37" s="276"/>
      <c r="D37" s="276"/>
      <c r="E37" s="252" t="s">
        <v>374</v>
      </c>
      <c r="F37" s="253"/>
      <c r="G37" s="253"/>
      <c r="H37" s="254"/>
      <c r="I37" s="271">
        <v>1001.5549999999999</v>
      </c>
      <c r="J37" s="272"/>
      <c r="K37" s="272"/>
      <c r="L37" s="95" t="str">
        <f t="shared" si="0"/>
        <v>MT</v>
      </c>
      <c r="M37" s="271">
        <v>1002.556</v>
      </c>
      <c r="N37" s="272"/>
      <c r="O37" s="272"/>
      <c r="P37" s="95" t="str">
        <f t="shared" si="1"/>
        <v>MT</v>
      </c>
      <c r="Q37" s="257">
        <v>3</v>
      </c>
      <c r="R37" s="258"/>
      <c r="S37" s="274" t="str">
        <f t="shared" ref="S37:S51" si="2">IF($A37="","",AB37)</f>
        <v>coils</v>
      </c>
      <c r="T37" s="275"/>
      <c r="AB37" s="86" t="str">
        <f t="shared" ref="AB37:AB50" si="3">IF(Q37&gt;1,$W$34&amp;"s",$W$34)</f>
        <v>coils</v>
      </c>
      <c r="AD37" s="86" t="s">
        <v>655</v>
      </c>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row>
    <row r="38" spans="1:71" s="86" customFormat="1" ht="16" customHeight="1">
      <c r="A38" s="276">
        <v>1003</v>
      </c>
      <c r="B38" s="276"/>
      <c r="C38" s="276"/>
      <c r="D38" s="276"/>
      <c r="E38" s="252" t="s">
        <v>375</v>
      </c>
      <c r="F38" s="253"/>
      <c r="G38" s="253"/>
      <c r="H38" s="254"/>
      <c r="I38" s="271">
        <v>1002.5549999999999</v>
      </c>
      <c r="J38" s="272"/>
      <c r="K38" s="272"/>
      <c r="L38" s="95" t="str">
        <f t="shared" si="0"/>
        <v>MT</v>
      </c>
      <c r="M38" s="271">
        <v>1003.556</v>
      </c>
      <c r="N38" s="272"/>
      <c r="O38" s="272"/>
      <c r="P38" s="95" t="str">
        <f t="shared" si="1"/>
        <v>MT</v>
      </c>
      <c r="Q38" s="257">
        <v>4</v>
      </c>
      <c r="R38" s="258"/>
      <c r="S38" s="274" t="str">
        <f t="shared" si="2"/>
        <v>coils</v>
      </c>
      <c r="T38" s="275"/>
      <c r="AB38" s="86" t="str">
        <f t="shared" si="3"/>
        <v>coils</v>
      </c>
      <c r="AD38" s="86" t="s">
        <v>656</v>
      </c>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row>
    <row r="39" spans="1:71" s="86" customFormat="1" ht="16" customHeight="1">
      <c r="A39" s="276">
        <v>1004</v>
      </c>
      <c r="B39" s="276"/>
      <c r="C39" s="276"/>
      <c r="D39" s="276"/>
      <c r="E39" s="252" t="s">
        <v>376</v>
      </c>
      <c r="F39" s="253"/>
      <c r="G39" s="253"/>
      <c r="H39" s="254"/>
      <c r="I39" s="271">
        <v>1003.5549999999999</v>
      </c>
      <c r="J39" s="272"/>
      <c r="K39" s="272"/>
      <c r="L39" s="95" t="str">
        <f t="shared" si="0"/>
        <v>MT</v>
      </c>
      <c r="M39" s="271">
        <v>1004.556</v>
      </c>
      <c r="N39" s="272"/>
      <c r="O39" s="272"/>
      <c r="P39" s="95" t="str">
        <f t="shared" si="1"/>
        <v>MT</v>
      </c>
      <c r="Q39" s="257">
        <v>5</v>
      </c>
      <c r="R39" s="258"/>
      <c r="S39" s="274" t="str">
        <f t="shared" si="2"/>
        <v>coils</v>
      </c>
      <c r="T39" s="275"/>
      <c r="AB39" s="86" t="str">
        <f t="shared" si="3"/>
        <v>coils</v>
      </c>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row>
    <row r="40" spans="1:71" s="86" customFormat="1" ht="16" customHeight="1">
      <c r="A40" s="276">
        <v>1005</v>
      </c>
      <c r="B40" s="276"/>
      <c r="C40" s="276"/>
      <c r="D40" s="276"/>
      <c r="E40" s="252" t="s">
        <v>377</v>
      </c>
      <c r="F40" s="253"/>
      <c r="G40" s="253"/>
      <c r="H40" s="254"/>
      <c r="I40" s="271">
        <v>1004.5549999999999</v>
      </c>
      <c r="J40" s="272"/>
      <c r="K40" s="272"/>
      <c r="L40" s="95" t="str">
        <f t="shared" si="0"/>
        <v>MT</v>
      </c>
      <c r="M40" s="271">
        <v>1005.556</v>
      </c>
      <c r="N40" s="272"/>
      <c r="O40" s="272"/>
      <c r="P40" s="95" t="str">
        <f t="shared" si="1"/>
        <v>MT</v>
      </c>
      <c r="Q40" s="257">
        <v>6</v>
      </c>
      <c r="R40" s="258"/>
      <c r="S40" s="274" t="str">
        <f t="shared" si="2"/>
        <v>coils</v>
      </c>
      <c r="T40" s="275"/>
      <c r="AB40" s="86" t="str">
        <f t="shared" si="3"/>
        <v>coils</v>
      </c>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row>
    <row r="41" spans="1:71" s="86" customFormat="1" ht="16" customHeight="1">
      <c r="A41" s="276">
        <v>1006</v>
      </c>
      <c r="B41" s="276"/>
      <c r="C41" s="276"/>
      <c r="D41" s="276"/>
      <c r="E41" s="252" t="s">
        <v>378</v>
      </c>
      <c r="F41" s="253"/>
      <c r="G41" s="253"/>
      <c r="H41" s="254"/>
      <c r="I41" s="271">
        <v>1005.5549999999999</v>
      </c>
      <c r="J41" s="272"/>
      <c r="K41" s="272"/>
      <c r="L41" s="95" t="str">
        <f t="shared" si="0"/>
        <v>MT</v>
      </c>
      <c r="M41" s="271">
        <v>1006.556</v>
      </c>
      <c r="N41" s="272"/>
      <c r="O41" s="272"/>
      <c r="P41" s="95" t="str">
        <f t="shared" si="1"/>
        <v>MT</v>
      </c>
      <c r="Q41" s="257">
        <v>7</v>
      </c>
      <c r="R41" s="258"/>
      <c r="S41" s="274" t="str">
        <f t="shared" si="2"/>
        <v>coils</v>
      </c>
      <c r="T41" s="275"/>
      <c r="AB41" s="86" t="str">
        <f t="shared" si="3"/>
        <v>coils</v>
      </c>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row>
    <row r="42" spans="1:71" s="86" customFormat="1" ht="16" customHeight="1">
      <c r="A42" s="276">
        <v>1007</v>
      </c>
      <c r="B42" s="276"/>
      <c r="C42" s="276"/>
      <c r="D42" s="276"/>
      <c r="E42" s="252" t="s">
        <v>379</v>
      </c>
      <c r="F42" s="253"/>
      <c r="G42" s="253"/>
      <c r="H42" s="254"/>
      <c r="I42" s="271">
        <v>1006.5549999999999</v>
      </c>
      <c r="J42" s="272"/>
      <c r="K42" s="272"/>
      <c r="L42" s="95" t="str">
        <f t="shared" si="0"/>
        <v>MT</v>
      </c>
      <c r="M42" s="271">
        <v>1007.556</v>
      </c>
      <c r="N42" s="272"/>
      <c r="O42" s="272"/>
      <c r="P42" s="95" t="str">
        <f t="shared" si="1"/>
        <v>MT</v>
      </c>
      <c r="Q42" s="257">
        <v>8</v>
      </c>
      <c r="R42" s="258"/>
      <c r="S42" s="274" t="str">
        <f t="shared" si="2"/>
        <v>coils</v>
      </c>
      <c r="T42" s="275"/>
      <c r="AB42" s="86" t="str">
        <f t="shared" si="3"/>
        <v>coils</v>
      </c>
      <c r="AT42" s="92"/>
      <c r="AU42" s="92"/>
      <c r="AV42" s="92"/>
      <c r="AW42" s="92"/>
      <c r="AX42" s="92"/>
      <c r="AY42" s="92"/>
      <c r="AZ42" s="92"/>
      <c r="BA42" s="92"/>
      <c r="BB42" s="92"/>
      <c r="BC42" s="92"/>
      <c r="BD42" s="92"/>
      <c r="BE42" s="91"/>
      <c r="BF42" s="91"/>
      <c r="BG42" s="91"/>
      <c r="BH42" s="91"/>
      <c r="BI42" s="91"/>
      <c r="BJ42" s="91"/>
      <c r="BK42" s="91"/>
      <c r="BL42" s="91"/>
      <c r="BM42" s="91"/>
      <c r="BN42" s="91"/>
      <c r="BO42" s="91"/>
      <c r="BP42" s="91"/>
      <c r="BQ42" s="91"/>
      <c r="BR42" s="91"/>
      <c r="BS42" s="91"/>
    </row>
    <row r="43" spans="1:71" s="86" customFormat="1" ht="16" customHeight="1">
      <c r="A43" s="276">
        <v>1008</v>
      </c>
      <c r="B43" s="276"/>
      <c r="C43" s="276"/>
      <c r="D43" s="276"/>
      <c r="E43" s="252" t="s">
        <v>380</v>
      </c>
      <c r="F43" s="253"/>
      <c r="G43" s="253"/>
      <c r="H43" s="254"/>
      <c r="I43" s="271">
        <v>1007.5549999999999</v>
      </c>
      <c r="J43" s="272"/>
      <c r="K43" s="272"/>
      <c r="L43" s="95" t="str">
        <f t="shared" si="0"/>
        <v>MT</v>
      </c>
      <c r="M43" s="271">
        <v>1008.556</v>
      </c>
      <c r="N43" s="272"/>
      <c r="O43" s="272"/>
      <c r="P43" s="95" t="str">
        <f t="shared" si="1"/>
        <v>MT</v>
      </c>
      <c r="Q43" s="257">
        <v>9</v>
      </c>
      <c r="R43" s="258"/>
      <c r="S43" s="274" t="str">
        <f t="shared" si="2"/>
        <v>coils</v>
      </c>
      <c r="T43" s="275"/>
      <c r="AB43" s="86" t="str">
        <f t="shared" si="3"/>
        <v>coils</v>
      </c>
      <c r="AT43" s="99"/>
      <c r="AU43" s="99"/>
      <c r="AV43" s="99"/>
      <c r="AW43" s="99"/>
      <c r="AX43" s="99"/>
      <c r="AY43" s="99"/>
      <c r="AZ43" s="92"/>
      <c r="BA43" s="92"/>
      <c r="BB43" s="96"/>
      <c r="BC43" s="96"/>
      <c r="BD43" s="96"/>
      <c r="BE43" s="97"/>
      <c r="BF43" s="97"/>
      <c r="BG43" s="97"/>
      <c r="BH43" s="97"/>
      <c r="BI43" s="97"/>
      <c r="BJ43" s="97"/>
      <c r="BK43" s="97"/>
      <c r="BL43" s="97"/>
      <c r="BM43" s="97"/>
      <c r="BN43" s="97"/>
      <c r="BO43" s="97"/>
      <c r="BP43" s="97"/>
      <c r="BQ43" s="97"/>
      <c r="BR43" s="97"/>
      <c r="BS43" s="97"/>
    </row>
    <row r="44" spans="1:71" s="86" customFormat="1" ht="16" customHeight="1">
      <c r="A44" s="276">
        <v>0</v>
      </c>
      <c r="B44" s="276"/>
      <c r="C44" s="276"/>
      <c r="D44" s="276"/>
      <c r="E44" s="252" t="s">
        <v>381</v>
      </c>
      <c r="F44" s="253"/>
      <c r="G44" s="253"/>
      <c r="H44" s="254"/>
      <c r="I44" s="271">
        <v>1008.5549999999999</v>
      </c>
      <c r="J44" s="272"/>
      <c r="K44" s="272"/>
      <c r="L44" s="95" t="str">
        <f t="shared" si="0"/>
        <v>MT</v>
      </c>
      <c r="M44" s="271">
        <v>1009.556</v>
      </c>
      <c r="N44" s="272"/>
      <c r="O44" s="272"/>
      <c r="P44" s="95" t="str">
        <f t="shared" si="1"/>
        <v>MT</v>
      </c>
      <c r="Q44" s="257">
        <v>10</v>
      </c>
      <c r="R44" s="258"/>
      <c r="S44" s="274" t="str">
        <f t="shared" si="2"/>
        <v>coils</v>
      </c>
      <c r="T44" s="275"/>
      <c r="AB44" s="86" t="str">
        <f t="shared" si="3"/>
        <v>coils</v>
      </c>
      <c r="AT44" s="99"/>
      <c r="AU44" s="99"/>
      <c r="AV44" s="99"/>
      <c r="AW44" s="99"/>
      <c r="AX44" s="99"/>
      <c r="AY44" s="99"/>
      <c r="AZ44" s="92"/>
      <c r="BA44" s="92"/>
      <c r="BB44" s="96"/>
      <c r="BC44" s="96"/>
      <c r="BD44" s="96"/>
      <c r="BE44" s="97"/>
      <c r="BF44" s="97"/>
      <c r="BG44" s="97"/>
      <c r="BH44" s="97"/>
      <c r="BI44" s="97"/>
      <c r="BJ44" s="97"/>
      <c r="BK44" s="97"/>
      <c r="BL44" s="97"/>
      <c r="BM44" s="97"/>
      <c r="BN44" s="97"/>
      <c r="BO44" s="97"/>
      <c r="BP44" s="97"/>
      <c r="BQ44" s="97"/>
      <c r="BR44" s="97"/>
      <c r="BS44" s="97"/>
    </row>
    <row r="45" spans="1:71" s="86" customFormat="1">
      <c r="A45" s="276">
        <v>1010</v>
      </c>
      <c r="B45" s="276"/>
      <c r="C45" s="276"/>
      <c r="D45" s="276"/>
      <c r="E45" s="252"/>
      <c r="F45" s="253"/>
      <c r="G45" s="253"/>
      <c r="H45" s="254"/>
      <c r="I45" s="271">
        <v>1009.5549999999999</v>
      </c>
      <c r="J45" s="272"/>
      <c r="K45" s="272"/>
      <c r="L45" s="95" t="str">
        <f t="shared" si="0"/>
        <v>MT</v>
      </c>
      <c r="M45" s="271">
        <v>1010.556</v>
      </c>
      <c r="N45" s="272"/>
      <c r="O45" s="272"/>
      <c r="P45" s="95" t="str">
        <f t="shared" si="1"/>
        <v>MT</v>
      </c>
      <c r="Q45" s="257">
        <v>11</v>
      </c>
      <c r="R45" s="258"/>
      <c r="S45" s="274" t="str">
        <f t="shared" si="2"/>
        <v>coils</v>
      </c>
      <c r="T45" s="275"/>
      <c r="AB45" s="86" t="str">
        <f t="shared" si="3"/>
        <v>coils</v>
      </c>
      <c r="AT45" s="99"/>
      <c r="AU45" s="99"/>
      <c r="AV45" s="99"/>
      <c r="AW45" s="99"/>
      <c r="AX45" s="99"/>
      <c r="AY45" s="99"/>
      <c r="AZ45" s="92"/>
      <c r="BA45" s="92"/>
      <c r="BB45" s="96"/>
      <c r="BC45" s="96"/>
      <c r="BD45" s="96"/>
      <c r="BE45" s="97"/>
      <c r="BF45" s="97"/>
      <c r="BG45" s="97"/>
      <c r="BH45" s="97"/>
      <c r="BI45" s="97"/>
      <c r="BJ45" s="97"/>
      <c r="BK45" s="97"/>
      <c r="BL45" s="97"/>
      <c r="BM45" s="97"/>
      <c r="BN45" s="97"/>
      <c r="BO45" s="97"/>
      <c r="BP45" s="97"/>
      <c r="BQ45" s="97"/>
      <c r="BR45" s="97"/>
      <c r="BS45" s="97"/>
    </row>
    <row r="46" spans="1:71" s="86" customFormat="1" ht="16" customHeight="1">
      <c r="A46" s="276">
        <v>1011</v>
      </c>
      <c r="B46" s="276"/>
      <c r="C46" s="276"/>
      <c r="D46" s="276"/>
      <c r="E46" s="252" t="s">
        <v>382</v>
      </c>
      <c r="F46" s="253"/>
      <c r="G46" s="253"/>
      <c r="H46" s="254"/>
      <c r="I46" s="271">
        <v>1010.5549999999999</v>
      </c>
      <c r="J46" s="272"/>
      <c r="K46" s="272"/>
      <c r="L46" s="95" t="str">
        <f t="shared" si="0"/>
        <v>MT</v>
      </c>
      <c r="M46" s="271">
        <v>1011.556</v>
      </c>
      <c r="N46" s="272"/>
      <c r="O46" s="272"/>
      <c r="P46" s="95" t="str">
        <f t="shared" si="1"/>
        <v>MT</v>
      </c>
      <c r="Q46" s="257">
        <v>12</v>
      </c>
      <c r="R46" s="258"/>
      <c r="S46" s="274" t="str">
        <f t="shared" si="2"/>
        <v>coils</v>
      </c>
      <c r="T46" s="275"/>
      <c r="AB46" s="86" t="str">
        <f t="shared" si="3"/>
        <v>coils</v>
      </c>
      <c r="AT46" s="99"/>
      <c r="AU46" s="99"/>
      <c r="AV46" s="99"/>
      <c r="AW46" s="99"/>
      <c r="AX46" s="99"/>
      <c r="AY46" s="99"/>
      <c r="AZ46" s="92"/>
      <c r="BA46" s="92"/>
      <c r="BB46" s="96"/>
      <c r="BC46" s="96"/>
      <c r="BD46" s="96"/>
      <c r="BE46" s="97"/>
      <c r="BF46" s="97"/>
      <c r="BG46" s="97"/>
      <c r="BH46" s="97"/>
      <c r="BI46" s="97"/>
      <c r="BJ46" s="97"/>
      <c r="BK46" s="97"/>
      <c r="BL46" s="97"/>
      <c r="BM46" s="97"/>
      <c r="BN46" s="97"/>
      <c r="BO46" s="97"/>
      <c r="BP46" s="97"/>
      <c r="BQ46" s="97"/>
      <c r="BR46" s="97"/>
      <c r="BS46" s="97"/>
    </row>
    <row r="47" spans="1:71" s="86" customFormat="1" ht="16" customHeight="1">
      <c r="A47" s="276">
        <v>1012</v>
      </c>
      <c r="B47" s="276"/>
      <c r="C47" s="276"/>
      <c r="D47" s="276"/>
      <c r="E47" s="252" t="s">
        <v>383</v>
      </c>
      <c r="F47" s="253"/>
      <c r="G47" s="253"/>
      <c r="H47" s="254"/>
      <c r="I47" s="271">
        <v>1011.5549999999999</v>
      </c>
      <c r="J47" s="272"/>
      <c r="K47" s="272"/>
      <c r="L47" s="95" t="str">
        <f t="shared" si="0"/>
        <v>MT</v>
      </c>
      <c r="M47" s="271">
        <v>1012.556</v>
      </c>
      <c r="N47" s="272"/>
      <c r="O47" s="272"/>
      <c r="P47" s="95" t="str">
        <f t="shared" si="1"/>
        <v>MT</v>
      </c>
      <c r="Q47" s="257">
        <v>13</v>
      </c>
      <c r="R47" s="258"/>
      <c r="S47" s="274" t="str">
        <f t="shared" si="2"/>
        <v>coils</v>
      </c>
      <c r="T47" s="275"/>
      <c r="AB47" s="86" t="str">
        <f t="shared" si="3"/>
        <v>coils</v>
      </c>
      <c r="AT47" s="99"/>
      <c r="AU47" s="99"/>
      <c r="AV47" s="99"/>
      <c r="AW47" s="99"/>
      <c r="AX47" s="99"/>
      <c r="AY47" s="99"/>
      <c r="AZ47" s="92"/>
      <c r="BA47" s="92"/>
      <c r="BB47" s="96"/>
      <c r="BC47" s="96"/>
      <c r="BD47" s="96"/>
      <c r="BE47" s="97"/>
      <c r="BF47" s="97"/>
      <c r="BG47" s="97"/>
      <c r="BH47" s="97"/>
      <c r="BI47" s="97"/>
      <c r="BJ47" s="97"/>
      <c r="BK47" s="97"/>
      <c r="BL47" s="97"/>
      <c r="BM47" s="97"/>
      <c r="BN47" s="97"/>
      <c r="BO47" s="97"/>
      <c r="BP47" s="97"/>
      <c r="BQ47" s="97"/>
      <c r="BR47" s="97"/>
      <c r="BS47" s="97"/>
    </row>
    <row r="48" spans="1:71" s="86" customFormat="1" ht="16" customHeight="1">
      <c r="A48" s="276">
        <v>1013</v>
      </c>
      <c r="B48" s="276"/>
      <c r="C48" s="276"/>
      <c r="D48" s="276"/>
      <c r="E48" s="252" t="s">
        <v>384</v>
      </c>
      <c r="F48" s="253"/>
      <c r="G48" s="253"/>
      <c r="H48" s="254"/>
      <c r="I48" s="271">
        <v>1012.5549999999999</v>
      </c>
      <c r="J48" s="272"/>
      <c r="K48" s="272"/>
      <c r="L48" s="95" t="str">
        <f t="shared" si="0"/>
        <v>MT</v>
      </c>
      <c r="M48" s="271">
        <v>1013.556</v>
      </c>
      <c r="N48" s="272"/>
      <c r="O48" s="272"/>
      <c r="P48" s="95" t="str">
        <f t="shared" si="1"/>
        <v>MT</v>
      </c>
      <c r="Q48" s="257">
        <v>14</v>
      </c>
      <c r="R48" s="258"/>
      <c r="S48" s="274" t="str">
        <f t="shared" si="2"/>
        <v>coils</v>
      </c>
      <c r="T48" s="275"/>
      <c r="AB48" s="86" t="str">
        <f t="shared" si="3"/>
        <v>coils</v>
      </c>
      <c r="AT48" s="99"/>
      <c r="AU48" s="99"/>
      <c r="AV48" s="99"/>
      <c r="AW48" s="99"/>
      <c r="AX48" s="99"/>
      <c r="AY48" s="99"/>
      <c r="AZ48" s="92"/>
      <c r="BA48" s="92"/>
      <c r="BB48" s="96"/>
      <c r="BC48" s="96"/>
      <c r="BD48" s="96"/>
      <c r="BE48" s="97"/>
      <c r="BF48" s="97"/>
      <c r="BG48" s="97"/>
      <c r="BH48" s="97"/>
      <c r="BI48" s="97"/>
      <c r="BJ48" s="97"/>
      <c r="BK48" s="97"/>
      <c r="BL48" s="97"/>
      <c r="BM48" s="97"/>
      <c r="BN48" s="97"/>
      <c r="BO48" s="97"/>
      <c r="BP48" s="97"/>
      <c r="BQ48" s="97"/>
      <c r="BR48" s="97"/>
      <c r="BS48" s="97"/>
    </row>
    <row r="49" spans="1:71" s="86" customFormat="1" ht="16" customHeight="1">
      <c r="A49" s="276">
        <v>1014</v>
      </c>
      <c r="B49" s="276"/>
      <c r="C49" s="276"/>
      <c r="D49" s="276"/>
      <c r="E49" s="252" t="s">
        <v>385</v>
      </c>
      <c r="F49" s="253"/>
      <c r="G49" s="253"/>
      <c r="H49" s="254"/>
      <c r="I49" s="271">
        <v>1013.5549999999999</v>
      </c>
      <c r="J49" s="272"/>
      <c r="K49" s="272"/>
      <c r="L49" s="95" t="str">
        <f t="shared" si="0"/>
        <v>MT</v>
      </c>
      <c r="M49" s="271">
        <v>1014.556</v>
      </c>
      <c r="N49" s="272"/>
      <c r="O49" s="272"/>
      <c r="P49" s="95" t="str">
        <f t="shared" si="1"/>
        <v>MT</v>
      </c>
      <c r="Q49" s="257">
        <v>15</v>
      </c>
      <c r="R49" s="258"/>
      <c r="S49" s="274" t="str">
        <f t="shared" si="2"/>
        <v>coils</v>
      </c>
      <c r="T49" s="275"/>
      <c r="AB49" s="86" t="str">
        <f t="shared" si="3"/>
        <v>coils</v>
      </c>
      <c r="AT49" s="99"/>
      <c r="AU49" s="99"/>
      <c r="AV49" s="99"/>
      <c r="AW49" s="99"/>
      <c r="AX49" s="99"/>
      <c r="AY49" s="99"/>
      <c r="AZ49" s="92"/>
      <c r="BA49" s="92"/>
      <c r="BB49" s="96"/>
      <c r="BC49" s="96"/>
      <c r="BD49" s="96"/>
      <c r="BE49" s="97"/>
      <c r="BF49" s="97"/>
      <c r="BG49" s="97"/>
      <c r="BH49" s="97"/>
      <c r="BI49" s="97"/>
      <c r="BJ49" s="97"/>
      <c r="BK49" s="97"/>
      <c r="BL49" s="97"/>
      <c r="BM49" s="97"/>
      <c r="BN49" s="97"/>
      <c r="BO49" s="97"/>
      <c r="BP49" s="97"/>
      <c r="BQ49" s="97"/>
      <c r="BR49" s="97"/>
      <c r="BS49" s="97"/>
    </row>
    <row r="50" spans="1:71" s="86" customFormat="1" ht="16" customHeight="1">
      <c r="A50" s="276">
        <v>1015</v>
      </c>
      <c r="B50" s="276"/>
      <c r="C50" s="276"/>
      <c r="D50" s="276"/>
      <c r="E50" s="252" t="s">
        <v>386</v>
      </c>
      <c r="F50" s="253"/>
      <c r="G50" s="253"/>
      <c r="H50" s="254"/>
      <c r="I50" s="271">
        <v>1014.5549999999999</v>
      </c>
      <c r="J50" s="272"/>
      <c r="K50" s="272"/>
      <c r="L50" s="95" t="str">
        <f t="shared" si="0"/>
        <v>MT</v>
      </c>
      <c r="M50" s="271">
        <v>1015.556</v>
      </c>
      <c r="N50" s="272"/>
      <c r="O50" s="272"/>
      <c r="P50" s="95" t="str">
        <f t="shared" si="1"/>
        <v>MT</v>
      </c>
      <c r="Q50" s="257">
        <v>16</v>
      </c>
      <c r="R50" s="258"/>
      <c r="S50" s="274" t="str">
        <f t="shared" si="2"/>
        <v>coils</v>
      </c>
      <c r="T50" s="275"/>
      <c r="AB50" s="86" t="str">
        <f t="shared" si="3"/>
        <v>coils</v>
      </c>
      <c r="AL50" s="86">
        <v>11111111</v>
      </c>
      <c r="AT50" s="99"/>
      <c r="AU50" s="99"/>
      <c r="AV50" s="99"/>
      <c r="AW50" s="99"/>
      <c r="AX50" s="99"/>
      <c r="AY50" s="99"/>
      <c r="AZ50" s="92"/>
      <c r="BA50" s="92"/>
      <c r="BB50" s="96"/>
      <c r="BC50" s="96"/>
      <c r="BD50" s="96"/>
      <c r="BE50" s="97"/>
      <c r="BF50" s="97"/>
      <c r="BG50" s="97"/>
      <c r="BH50" s="97"/>
      <c r="BI50" s="97"/>
      <c r="BJ50" s="97"/>
      <c r="BK50" s="97"/>
      <c r="BL50" s="97"/>
      <c r="BM50" s="97"/>
      <c r="BN50" s="97"/>
      <c r="BO50" s="97"/>
      <c r="BP50" s="97"/>
      <c r="BQ50" s="97"/>
      <c r="BR50" s="97"/>
      <c r="BS50" s="97"/>
    </row>
    <row r="51" spans="1:71" s="86" customFormat="1" ht="16" customHeight="1">
      <c r="A51" s="288" t="s">
        <v>66</v>
      </c>
      <c r="B51" s="289"/>
      <c r="C51" s="289"/>
      <c r="D51" s="289"/>
      <c r="E51" s="289"/>
      <c r="F51" s="289"/>
      <c r="G51" s="289"/>
      <c r="H51" s="290"/>
      <c r="I51" s="291">
        <f>SUM(I36:K50)</f>
        <v>15113.325000000003</v>
      </c>
      <c r="J51" s="292"/>
      <c r="K51" s="292"/>
      <c r="L51" s="95" t="str">
        <f t="shared" si="0"/>
        <v>MT</v>
      </c>
      <c r="M51" s="291">
        <f>SUM(M36:O50)</f>
        <v>15128.340000000006</v>
      </c>
      <c r="N51" s="292"/>
      <c r="O51" s="292"/>
      <c r="P51" s="95" t="str">
        <f t="shared" si="1"/>
        <v>MT</v>
      </c>
      <c r="Q51" s="293">
        <f>SUM(Q36:R50)</f>
        <v>135</v>
      </c>
      <c r="R51" s="294"/>
      <c r="S51" s="274" t="str">
        <f t="shared" si="2"/>
        <v>coils</v>
      </c>
      <c r="T51" s="275"/>
      <c r="AB51" s="86" t="str">
        <f>IF(Q51&gt;1,$W$34&amp;"s",$W$34)</f>
        <v>coils</v>
      </c>
      <c r="AT51" s="99"/>
      <c r="AU51" s="99"/>
      <c r="AV51" s="99"/>
      <c r="AW51" s="99"/>
      <c r="AX51" s="99"/>
      <c r="AY51" s="99"/>
      <c r="AZ51" s="92"/>
      <c r="BA51" s="92"/>
      <c r="BB51" s="96"/>
      <c r="BC51" s="96"/>
      <c r="BD51" s="96"/>
      <c r="BE51" s="97"/>
      <c r="BF51" s="97"/>
      <c r="BG51" s="97"/>
      <c r="BH51" s="97"/>
      <c r="BI51" s="97"/>
      <c r="BJ51" s="97"/>
      <c r="BK51" s="97"/>
      <c r="BL51" s="97"/>
      <c r="BM51" s="97"/>
      <c r="BN51" s="97"/>
      <c r="BO51" s="97"/>
      <c r="BP51" s="97"/>
      <c r="BQ51" s="97"/>
      <c r="BR51" s="97"/>
      <c r="BS51" s="97"/>
    </row>
    <row r="52" spans="1:71" s="86" customFormat="1" ht="16" customHeight="1">
      <c r="A52" s="136"/>
      <c r="B52" s="136"/>
      <c r="C52" s="136"/>
      <c r="D52" s="136"/>
      <c r="E52" s="136"/>
      <c r="F52" s="136"/>
      <c r="G52" s="136"/>
      <c r="H52" s="136"/>
      <c r="I52" s="148"/>
      <c r="J52" s="148"/>
      <c r="K52" s="148"/>
      <c r="L52" s="98"/>
      <c r="M52" s="148"/>
      <c r="N52" s="148"/>
      <c r="O52" s="148"/>
      <c r="P52" s="98"/>
      <c r="Q52" s="149"/>
      <c r="R52" s="149"/>
      <c r="S52" s="150"/>
      <c r="T52" s="150"/>
      <c r="AL52" s="86">
        <v>555555</v>
      </c>
      <c r="AT52" s="136"/>
      <c r="AU52" s="136"/>
      <c r="AV52" s="136"/>
      <c r="AW52" s="136"/>
      <c r="AX52" s="136"/>
      <c r="AY52" s="136"/>
      <c r="AZ52" s="135"/>
      <c r="BA52" s="135"/>
      <c r="BB52" s="96"/>
      <c r="BC52" s="96"/>
      <c r="BD52" s="96"/>
      <c r="BE52" s="97"/>
      <c r="BF52" s="97"/>
      <c r="BG52" s="97"/>
      <c r="BH52" s="97"/>
      <c r="BI52" s="97"/>
      <c r="BJ52" s="97"/>
      <c r="BK52" s="97"/>
      <c r="BL52" s="97"/>
      <c r="BM52" s="97"/>
      <c r="BN52" s="97"/>
      <c r="BO52" s="97"/>
      <c r="BP52" s="97"/>
      <c r="BQ52" s="97"/>
      <c r="BR52" s="97"/>
      <c r="BS52" s="97"/>
    </row>
    <row r="53" spans="1:71" s="86" customFormat="1" ht="16" customHeight="1">
      <c r="AT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row>
    <row r="54" spans="1:71" s="86" customFormat="1" ht="16" customHeight="1">
      <c r="A54" s="244" t="s">
        <v>24</v>
      </c>
      <c r="B54" s="244"/>
      <c r="C54" s="244"/>
      <c r="D54" s="249" t="s">
        <v>60</v>
      </c>
      <c r="E54" s="249"/>
      <c r="F54" s="249"/>
      <c r="G54" s="145">
        <v>2</v>
      </c>
      <c r="H54" s="137" t="s">
        <v>272</v>
      </c>
      <c r="I54" s="137"/>
      <c r="J54" s="137"/>
      <c r="K54" s="137"/>
      <c r="L54" s="137"/>
      <c r="M54" s="137"/>
      <c r="O54" s="245" t="s">
        <v>305</v>
      </c>
      <c r="P54" s="246"/>
      <c r="S54" s="101" t="s">
        <v>61</v>
      </c>
      <c r="T54" s="146">
        <v>1</v>
      </c>
      <c r="U54" s="86" t="s">
        <v>57</v>
      </c>
      <c r="W54" s="146">
        <v>1</v>
      </c>
      <c r="X54" s="86" t="s">
        <v>58</v>
      </c>
      <c r="AR54" s="86">
        <v>1</v>
      </c>
      <c r="AS54" s="86" t="s">
        <v>284</v>
      </c>
      <c r="AT54" s="83" t="str">
        <f>"Each "&amp;W34&amp;" with "</f>
        <v xml:space="preserve">Each coil with </v>
      </c>
      <c r="AW54" s="83"/>
      <c r="AX54" s="83"/>
      <c r="AY54" s="83"/>
      <c r="AZ54" s="83"/>
      <c r="BA54" s="83"/>
      <c r="BB54" s="83"/>
      <c r="BC54" s="83"/>
      <c r="BD54" s="83"/>
      <c r="BE54" s="83"/>
      <c r="BF54" s="83"/>
      <c r="BG54" s="83"/>
      <c r="BH54" s="83"/>
      <c r="BI54" s="83"/>
      <c r="BJ54" s="83"/>
      <c r="BK54" s="83"/>
      <c r="BL54" s="83"/>
      <c r="BM54" s="83"/>
      <c r="BN54" s="83"/>
      <c r="BO54" s="83"/>
      <c r="BP54" s="83"/>
      <c r="BQ54" s="83"/>
      <c r="BR54" s="83"/>
      <c r="BS54" s="83"/>
    </row>
    <row r="55" spans="1:71" s="86" customFormat="1" ht="16" customHeight="1">
      <c r="D55" s="102" t="s">
        <v>62</v>
      </c>
      <c r="G55" s="145">
        <v>3</v>
      </c>
      <c r="H55" s="86" t="s">
        <v>295</v>
      </c>
      <c r="I55" s="247" t="s">
        <v>653</v>
      </c>
      <c r="J55" s="248"/>
      <c r="K55" s="103" t="s">
        <v>307</v>
      </c>
      <c r="L55" s="103"/>
      <c r="M55" s="245" t="s">
        <v>652</v>
      </c>
      <c r="N55" s="246"/>
      <c r="Q55" s="249" t="s">
        <v>63</v>
      </c>
      <c r="R55" s="249"/>
      <c r="S55" s="249"/>
      <c r="T55" s="104" t="s">
        <v>56</v>
      </c>
      <c r="U55" s="105" t="s">
        <v>59</v>
      </c>
      <c r="W55" s="250" t="s">
        <v>67</v>
      </c>
      <c r="X55" s="251"/>
      <c r="Y55" s="86" t="s">
        <v>46</v>
      </c>
      <c r="AR55" s="86">
        <v>2</v>
      </c>
      <c r="AS55" s="86" t="s">
        <v>285</v>
      </c>
      <c r="AT55" s="83" t="str">
        <f>"Two "&amp;W34&amp;" with "</f>
        <v xml:space="preserve">Two coil with </v>
      </c>
      <c r="AW55" s="83"/>
      <c r="AX55" s="83"/>
      <c r="AY55" s="83"/>
      <c r="AZ55" s="83"/>
      <c r="BA55" s="83"/>
      <c r="BB55" s="83"/>
      <c r="BC55" s="83"/>
      <c r="BD55" s="83"/>
      <c r="BE55" s="83"/>
      <c r="BF55" s="83"/>
      <c r="BG55" s="83"/>
      <c r="BH55" s="83"/>
      <c r="BI55" s="83"/>
      <c r="BJ55" s="83"/>
      <c r="BK55" s="83"/>
      <c r="BL55" s="83"/>
      <c r="BM55" s="83"/>
      <c r="BN55" s="83"/>
      <c r="BO55" s="83"/>
      <c r="BP55" s="83"/>
      <c r="BQ55" s="83"/>
      <c r="BR55" s="83"/>
      <c r="BS55" s="83"/>
    </row>
    <row r="56" spans="1:71" s="86" customFormat="1" ht="14.5">
      <c r="A56" s="73"/>
      <c r="B56" s="73"/>
      <c r="C56" s="73"/>
      <c r="D56" s="73"/>
      <c r="E56" s="73"/>
      <c r="F56" s="73"/>
      <c r="G56" s="145"/>
      <c r="I56" s="247"/>
      <c r="J56" s="248"/>
      <c r="K56" s="103" t="s">
        <v>307</v>
      </c>
      <c r="L56" s="103"/>
      <c r="N56" s="73"/>
      <c r="O56" s="73"/>
      <c r="P56" s="73"/>
      <c r="Q56" s="73"/>
      <c r="R56" s="73"/>
      <c r="S56" s="73"/>
      <c r="T56" s="73"/>
      <c r="U56" s="73"/>
      <c r="V56" s="73"/>
      <c r="W56" s="73"/>
      <c r="X56" s="73"/>
      <c r="Y56" s="73"/>
      <c r="Z56" s="73"/>
      <c r="AR56" s="86">
        <v>3</v>
      </c>
      <c r="AS56" s="86" t="s">
        <v>286</v>
      </c>
      <c r="AT56" s="83" t="str">
        <f>"Three "&amp;W34&amp;" with "</f>
        <v xml:space="preserve">Three coil with </v>
      </c>
      <c r="AW56" s="83"/>
      <c r="AX56" s="83"/>
      <c r="AY56" s="83"/>
      <c r="AZ56" s="83"/>
      <c r="BA56" s="83"/>
      <c r="BB56" s="83"/>
      <c r="BC56" s="83"/>
      <c r="BD56" s="83"/>
      <c r="BE56" s="83"/>
      <c r="BF56" s="83"/>
      <c r="BG56" s="83"/>
      <c r="BH56" s="83"/>
      <c r="BI56" s="83"/>
      <c r="BJ56" s="83"/>
      <c r="BK56" s="83"/>
      <c r="BL56" s="83"/>
      <c r="BM56" s="83"/>
      <c r="BN56" s="83"/>
      <c r="BO56" s="83"/>
      <c r="BP56" s="83"/>
      <c r="BQ56" s="83"/>
      <c r="BR56" s="83"/>
      <c r="BS56" s="83"/>
    </row>
    <row r="57" spans="1:71" s="86" customFormat="1" ht="17" customHeight="1">
      <c r="A57" s="73"/>
      <c r="B57" s="73"/>
      <c r="C57" s="73"/>
      <c r="D57" s="73"/>
      <c r="E57" s="73"/>
      <c r="F57" s="73"/>
      <c r="G57" s="73"/>
      <c r="H57" s="73"/>
      <c r="I57" s="73"/>
      <c r="J57" s="73"/>
      <c r="K57" s="73"/>
      <c r="L57" s="73"/>
      <c r="M57" s="73"/>
      <c r="N57" s="73"/>
      <c r="O57" s="73"/>
      <c r="P57" s="73"/>
      <c r="AR57" s="106" t="s">
        <v>287</v>
      </c>
      <c r="AS57" s="86" t="s">
        <v>290</v>
      </c>
      <c r="AT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row>
    <row r="58" spans="1:71" s="86" customFormat="1" ht="14.5">
      <c r="A58" s="73"/>
      <c r="B58" s="73"/>
      <c r="C58" s="73"/>
      <c r="D58" s="73"/>
      <c r="E58" s="73"/>
      <c r="F58" s="73"/>
      <c r="G58" s="73"/>
      <c r="H58" s="73"/>
      <c r="I58" s="73"/>
      <c r="J58" s="73"/>
      <c r="K58" s="73"/>
      <c r="L58" s="73"/>
      <c r="M58" s="73"/>
      <c r="N58" s="73"/>
      <c r="O58" s="73"/>
      <c r="P58" s="73"/>
      <c r="Q58" s="73"/>
      <c r="R58" s="73"/>
      <c r="S58" s="73" t="s">
        <v>25</v>
      </c>
      <c r="T58" s="73"/>
      <c r="U58" s="73"/>
      <c r="V58" s="73"/>
      <c r="W58" s="73"/>
      <c r="X58" s="73"/>
      <c r="Y58" s="73"/>
      <c r="Z58" s="73"/>
      <c r="AR58" s="106" t="s">
        <v>288</v>
      </c>
      <c r="AS58" s="86" t="s">
        <v>291</v>
      </c>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row>
    <row r="59" spans="1:71" s="86" customFormat="1" ht="14.5">
      <c r="A59" s="73"/>
      <c r="B59" s="73"/>
      <c r="C59" s="73"/>
      <c r="D59" s="73"/>
      <c r="E59" s="73"/>
      <c r="F59" s="73"/>
      <c r="G59" s="73"/>
      <c r="H59" s="73"/>
      <c r="I59" s="73"/>
      <c r="J59" s="73"/>
      <c r="K59" s="73"/>
      <c r="L59" s="73"/>
      <c r="M59" s="73"/>
      <c r="N59" s="73"/>
      <c r="O59" s="73"/>
      <c r="P59" s="73"/>
      <c r="Q59" s="73"/>
      <c r="R59" s="73"/>
      <c r="S59" s="73"/>
      <c r="T59" s="73"/>
      <c r="U59" s="73"/>
      <c r="V59" s="73"/>
      <c r="W59" s="73"/>
      <c r="X59" s="73"/>
      <c r="Y59" s="73"/>
      <c r="Z59" s="73"/>
      <c r="AR59" s="106" t="s">
        <v>289</v>
      </c>
      <c r="AS59" s="86" t="s">
        <v>292</v>
      </c>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row>
    <row r="60" spans="1:71">
      <c r="AR60" s="73" t="str">
        <f>IF(I56="","",_xlfn.XLOOKUP(I55,AR57:AR59,AS57:AS59,"",0,1)&amp;" and " &amp;_xlfn.XLOOKUP(I56,AR57:AR59,AS57:AS59,"",0,1))</f>
        <v/>
      </c>
      <c r="AS60" s="73" t="str">
        <f>IF(I56="","",_xlfn.XLOOKUP(I55,AR57:AR59,AS57:AS59,"",0,1)&amp;" and " &amp;_xlfn.XLOOKUP(I56,AR57:AR59,AS57:AS59,"",0,1))</f>
        <v/>
      </c>
    </row>
    <row r="61" spans="1:71" ht="17">
      <c r="A61" t="s">
        <v>90</v>
      </c>
      <c r="C61" s="73" t="str">
        <f>"The cargo in coils in sound packing condition, identified with the correct marks as mentioned above, was stuffed by means of the single-boom-lifts from the storage yard into "&amp;櫃號表格!O4&amp;" containers in rows with "&amp;_xlfn.XLOOKUP(W54,AR54:AR56,AS54:AS56,"",0,1)&amp;" tier high."</f>
        <v>The cargo in coils in sound packing condition, identified with the correct marks as mentioned above, was stuffed by means of the single-boom-lifts from the storage yard into 1x20' containers in rows with one tier high.</v>
      </c>
    </row>
    <row r="62" spans="1:71" ht="17" customHeight="1">
      <c r="B62"/>
      <c r="C62" s="73" t="str">
        <f>IF(damage表格!A8="","During the entire course of stuffing, steel coils where accessible were visually inspected on the exterior, and found to be appeared in general good order.","During the entire course of stuffing, steel coils where accessible were visually inspected on the exterior, and found to be appeared in general good order, except below list.")</f>
        <v>During the entire course of stuffing, steel coils where accessible were visually inspected on the exterior, and found to be appeared in general good order, except below list.</v>
      </c>
    </row>
    <row r="63" spans="1:71" ht="17">
      <c r="A63"/>
      <c r="B63"/>
      <c r="C63" s="243" t="s">
        <v>281</v>
      </c>
      <c r="D63" s="243"/>
      <c r="E63" s="243"/>
      <c r="F63" s="243"/>
      <c r="G63" s="243"/>
      <c r="H63" s="243"/>
      <c r="I63" s="243"/>
      <c r="J63" s="243"/>
      <c r="K63" s="243"/>
      <c r="L63" s="243"/>
      <c r="M63" s="243"/>
      <c r="N63" s="243"/>
      <c r="O63" s="243"/>
      <c r="P63" s="243"/>
      <c r="Q63" s="243"/>
      <c r="R63" s="243"/>
      <c r="S63" s="243"/>
      <c r="T63" s="243"/>
      <c r="U63" s="243"/>
      <c r="V63" s="243"/>
      <c r="W63" s="243"/>
      <c r="X63" s="243"/>
      <c r="Y63" s="243"/>
      <c r="Z63" s="243"/>
    </row>
    <row r="64" spans="1:71">
      <c r="A64" s="73" t="s">
        <v>104</v>
      </c>
      <c r="C64" s="73" t="str">
        <f>IF(O54=A65,C65,_xlfn.XLOOKUP(M55,A66:A67,C66:C67,"",0,1))</f>
        <v>Each coil is stowed in rows on the floorboards of each container, and wedges with wooden pieces against the containers' panels prevent the coils from shifting during the voyage.</v>
      </c>
    </row>
    <row r="65" spans="1:3" ht="14.5">
      <c r="A65" s="241" t="s">
        <v>294</v>
      </c>
      <c r="B65" s="242"/>
      <c r="C65" s="73" t="s">
        <v>297</v>
      </c>
    </row>
    <row r="66" spans="1:3" ht="14.5">
      <c r="A66" s="241" t="s">
        <v>294</v>
      </c>
      <c r="B66" s="242"/>
      <c r="C66" s="73" t="str">
        <f>_xlfn.XLOOKUP(T54,AR54:AR56,AT54:AT56,"",0,1)&amp;G54&amp;" single lines of wooden dunnage under each "&amp;W34&amp;" on the wooden floorboards in each container were shored and chocked with wooden blocks and wedges against fore, left and right panels to prevent coils from tripping during the voyage. "</f>
        <v xml:space="preserve">Each coil with 2 single lines of wooden dunnage under each coil on the wooden floorboards in each container were shored and chocked with wooden blocks and wedges against fore, left and right panels to prevent coils from tripping during the voyage. </v>
      </c>
    </row>
    <row r="67" spans="1:3" ht="14.5">
      <c r="A67" s="241" t="s">
        <v>293</v>
      </c>
      <c r="B67" s="242"/>
      <c r="C67" s="73" t="str">
        <f>_xlfn.XLOOKUP(T54,AR54:AR56,AT54:AT56,"",0,1)&amp;G54&amp;" single lines of wood dunnage and a rectangular wooden board under each "&amp;W34&amp;" on the wooden floorboards in each container was shored/chocked with wooden blocks and wedges against fore, left and right panels, and each "&amp;W34&amp;" was crossly lashed with "&amp;G55&amp; _xlfn.XLOOKUP(I55,AR57:AR60,AS57:AS60,"",0,1) &amp;"sets through coil eye to the cleats for prevent coils from tripping during the voyage."</f>
        <v>Each coil with 2 single lines of wood dunnage and a rectangular wooden board under each coil on the wooden floorboards in each container was shored/chocked with wooden blocks and wedges against fore, left and right panels, and each coil was crossly lashed with 3steel wire ropessets through coil eye to the cleats for prevent coils from tripping during the voyage.</v>
      </c>
    </row>
  </sheetData>
  <mergeCells count="166">
    <mergeCell ref="I56:J56"/>
    <mergeCell ref="A51:H51"/>
    <mergeCell ref="A49:D49"/>
    <mergeCell ref="A50:D50"/>
    <mergeCell ref="I51:K51"/>
    <mergeCell ref="M51:O51"/>
    <mergeCell ref="Q51:R51"/>
    <mergeCell ref="Q48:R48"/>
    <mergeCell ref="Q49:R49"/>
    <mergeCell ref="Q50:R50"/>
    <mergeCell ref="M48:O48"/>
    <mergeCell ref="M49:O49"/>
    <mergeCell ref="M50:O50"/>
    <mergeCell ref="I48:K48"/>
    <mergeCell ref="I49:K49"/>
    <mergeCell ref="I50:K50"/>
    <mergeCell ref="E48:H48"/>
    <mergeCell ref="E49:H49"/>
    <mergeCell ref="E50:H50"/>
    <mergeCell ref="A36:D36"/>
    <mergeCell ref="U34:V34"/>
    <mergeCell ref="W34:Z34"/>
    <mergeCell ref="A35:D35"/>
    <mergeCell ref="I35:L35"/>
    <mergeCell ref="M36:O36"/>
    <mergeCell ref="I36:K36"/>
    <mergeCell ref="Q35:T35"/>
    <mergeCell ref="S36:T36"/>
    <mergeCell ref="E35:H35"/>
    <mergeCell ref="E36:H36"/>
    <mergeCell ref="M35:P35"/>
    <mergeCell ref="Q36:R36"/>
    <mergeCell ref="A5:Z5"/>
    <mergeCell ref="A7:D7"/>
    <mergeCell ref="E7:I7"/>
    <mergeCell ref="O7:R7"/>
    <mergeCell ref="S7:Z7"/>
    <mergeCell ref="A9:D9"/>
    <mergeCell ref="E9:L9"/>
    <mergeCell ref="J27:L27"/>
    <mergeCell ref="M27:N27"/>
    <mergeCell ref="O27:T27"/>
    <mergeCell ref="A8:D8"/>
    <mergeCell ref="E8:N8"/>
    <mergeCell ref="A10:D10"/>
    <mergeCell ref="A12:D12"/>
    <mergeCell ref="G13:N13"/>
    <mergeCell ref="G14:N14"/>
    <mergeCell ref="E16:Z16"/>
    <mergeCell ref="A23:D23"/>
    <mergeCell ref="E18:Z19"/>
    <mergeCell ref="W23:Z23"/>
    <mergeCell ref="S8:Z8"/>
    <mergeCell ref="E23:F23"/>
    <mergeCell ref="E24:F24"/>
    <mergeCell ref="Q23:R23"/>
    <mergeCell ref="A46:D46"/>
    <mergeCell ref="A47:D47"/>
    <mergeCell ref="A48:D48"/>
    <mergeCell ref="E43:H43"/>
    <mergeCell ref="E44:H44"/>
    <mergeCell ref="E45:H45"/>
    <mergeCell ref="E46:H46"/>
    <mergeCell ref="E47:H47"/>
    <mergeCell ref="I37:K37"/>
    <mergeCell ref="I38:K38"/>
    <mergeCell ref="I39:K39"/>
    <mergeCell ref="A37:D37"/>
    <mergeCell ref="A38:D38"/>
    <mergeCell ref="A39:D39"/>
    <mergeCell ref="A40:D40"/>
    <mergeCell ref="A41:D41"/>
    <mergeCell ref="A42:D42"/>
    <mergeCell ref="A43:D43"/>
    <mergeCell ref="A44:D44"/>
    <mergeCell ref="A45:D45"/>
    <mergeCell ref="E37:H37"/>
    <mergeCell ref="E38:H38"/>
    <mergeCell ref="E39:H39"/>
    <mergeCell ref="E40:H40"/>
    <mergeCell ref="S51:T51"/>
    <mergeCell ref="S37:T37"/>
    <mergeCell ref="S38:T38"/>
    <mergeCell ref="S39:T39"/>
    <mergeCell ref="S40:T40"/>
    <mergeCell ref="S41:T41"/>
    <mergeCell ref="S42:T42"/>
    <mergeCell ref="S43:T43"/>
    <mergeCell ref="S44:T44"/>
    <mergeCell ref="S45:T45"/>
    <mergeCell ref="S46:T46"/>
    <mergeCell ref="S47:T47"/>
    <mergeCell ref="S48:T48"/>
    <mergeCell ref="S49:T49"/>
    <mergeCell ref="S50:T50"/>
    <mergeCell ref="Q44:R44"/>
    <mergeCell ref="T23:U23"/>
    <mergeCell ref="Q24:R24"/>
    <mergeCell ref="T24:U24"/>
    <mergeCell ref="S25:U25"/>
    <mergeCell ref="M46:O46"/>
    <mergeCell ref="M47:O47"/>
    <mergeCell ref="I46:K46"/>
    <mergeCell ref="I47:K47"/>
    <mergeCell ref="I43:K43"/>
    <mergeCell ref="I44:K44"/>
    <mergeCell ref="I45:K45"/>
    <mergeCell ref="M39:O39"/>
    <mergeCell ref="Q45:R45"/>
    <mergeCell ref="Q46:R46"/>
    <mergeCell ref="Q47:R47"/>
    <mergeCell ref="M40:O40"/>
    <mergeCell ref="M41:O41"/>
    <mergeCell ref="M42:O42"/>
    <mergeCell ref="M43:O43"/>
    <mergeCell ref="M44:O44"/>
    <mergeCell ref="M45:O45"/>
    <mergeCell ref="I40:K40"/>
    <mergeCell ref="O28:T28"/>
    <mergeCell ref="Q39:R39"/>
    <mergeCell ref="Q40:R40"/>
    <mergeCell ref="Q41:R41"/>
    <mergeCell ref="Q42:R42"/>
    <mergeCell ref="I41:K41"/>
    <mergeCell ref="I42:K42"/>
    <mergeCell ref="M37:O37"/>
    <mergeCell ref="M38:O38"/>
    <mergeCell ref="Q43:R43"/>
    <mergeCell ref="E10:H10"/>
    <mergeCell ref="E12:H12"/>
    <mergeCell ref="I10:Z10"/>
    <mergeCell ref="E11:H11"/>
    <mergeCell ref="I11:Z11"/>
    <mergeCell ref="I12:Z12"/>
    <mergeCell ref="W24:Z24"/>
    <mergeCell ref="E20:Z22"/>
    <mergeCell ref="Q37:R37"/>
    <mergeCell ref="J29:L29"/>
    <mergeCell ref="Q29:Y29"/>
    <mergeCell ref="J31:L31"/>
    <mergeCell ref="M29:O29"/>
    <mergeCell ref="J30:L30"/>
    <mergeCell ref="A16:D16"/>
    <mergeCell ref="I23:M23"/>
    <mergeCell ref="I24:M24"/>
    <mergeCell ref="A18:D18"/>
    <mergeCell ref="A20:D20"/>
    <mergeCell ref="A66:B66"/>
    <mergeCell ref="A67:B67"/>
    <mergeCell ref="A65:B65"/>
    <mergeCell ref="C63:Z63"/>
    <mergeCell ref="A54:C54"/>
    <mergeCell ref="O54:P54"/>
    <mergeCell ref="I55:J55"/>
    <mergeCell ref="M55:N55"/>
    <mergeCell ref="Q55:S55"/>
    <mergeCell ref="W55:X55"/>
    <mergeCell ref="D54:F54"/>
    <mergeCell ref="E41:H41"/>
    <mergeCell ref="E42:H42"/>
    <mergeCell ref="J26:L26"/>
    <mergeCell ref="M26:N26"/>
    <mergeCell ref="O26:T26"/>
    <mergeCell ref="J28:L28"/>
    <mergeCell ref="M28:N28"/>
    <mergeCell ref="Q38:R38"/>
  </mergeCells>
  <phoneticPr fontId="2" type="noConversion"/>
  <dataValidations count="10">
    <dataValidation type="list" allowBlank="1" showInputMessage="1" showErrorMessage="1" sqref="O54:P54 M55:N55" xr:uid="{512A28D2-7B8B-4BB3-B5E2-E5448345D980}">
      <formula1>"(是),(否)"</formula1>
    </dataValidation>
    <dataValidation type="list" allowBlank="1" showInputMessage="1" showErrorMessage="1" sqref="W55" xr:uid="{5DF5E427-8D05-49AC-A824-2685342073B8}">
      <formula1>"帆布,塑膠布"</formula1>
    </dataValidation>
    <dataValidation type="list" allowBlank="1" showInputMessage="1" showErrorMessage="1" sqref="T55" xr:uid="{E4220D16-A6DE-4E9A-9A6D-C625A0AED177}">
      <formula1>"是,否"</formula1>
    </dataValidation>
    <dataValidation type="list" allowBlank="1" showInputMessage="1" showErrorMessage="1" sqref="E9:L9" xr:uid="{8C29BCE2-8369-457E-9A75-EA58A7C7572A}">
      <formula1>$AB$1:$AB$5</formula1>
    </dataValidation>
    <dataValidation type="list" allowBlank="1" showInputMessage="1" showErrorMessage="1" sqref="A23:D23" xr:uid="{41E91D31-5A2E-413B-A313-AE3F5557D2A0}">
      <formula1>"平放,直立,平放&amp;直立"</formula1>
    </dataValidation>
    <dataValidation type="list" allowBlank="1" showInputMessage="1" showErrorMessage="1" sqref="I23:I24" xr:uid="{17E62FAA-2D85-47F0-A764-EC5220AAB552}">
      <formula1>"metal, moisture-resistance, metal / moisture-resistance"</formula1>
    </dataValidation>
    <dataValidation type="list" allowBlank="1" showInputMessage="1" showErrorMessage="1" sqref="I56:J56" xr:uid="{CF5558D1-95A2-4637-B989-C77A2C27363E}">
      <formula1>"鋼索,鐵帶,尼龍"</formula1>
    </dataValidation>
    <dataValidation type="list" allowBlank="1" showInputMessage="1" showErrorMessage="1" sqref="J29:O29" xr:uid="{AC98EB4C-7A88-4579-9E20-607D93E5A7C8}">
      <formula1>$AB$28:$AB$33</formula1>
    </dataValidation>
    <dataValidation type="list" allowBlank="1" showInputMessage="1" showErrorMessage="1" sqref="W23:Z24" xr:uid="{CABB40B5-8B88-4ACE-8D4F-161057DD0AC5}">
      <formula1>""" "",wooden pallet, wooden skid, wooden pallet / skid"</formula1>
    </dataValidation>
    <dataValidation type="list" allowBlank="1" showInputMessage="1" showErrorMessage="1" sqref="I55:J55" xr:uid="{44FD119C-BDFD-44C2-9117-69535F5E8A51}">
      <formula1>$AR$57:$AR$60</formula1>
    </dataValidation>
  </dataValidations>
  <printOptions horizontalCentered="1" verticalCentered="1"/>
  <pageMargins left="0.19685039370078741" right="0.19685039370078741" top="0.39370078740157483" bottom="0.39370078740157483" header="0.31496062992125984" footer="0.31496062992125984"/>
  <pageSetup paperSize="9" scale="70"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12C296F-1CEE-4CA1-81A0-E3C1C113F351}">
          <x14:formula1>
            <xm:f>客戶名稱!$F:$F</xm:f>
          </x14:formula1>
          <xm:sqref>I12:Z12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049966-5B18-4113-8123-469D8CEE1284}">
  <sheetPr codeName="工作表7">
    <tabColor rgb="FFFF0000"/>
  </sheetPr>
  <dimension ref="A1:BZ88"/>
  <sheetViews>
    <sheetView view="pageBreakPreview" zoomScaleNormal="100" zoomScaleSheetLayoutView="100" workbookViewId="0">
      <selection activeCell="X36" sqref="W35:X36"/>
    </sheetView>
  </sheetViews>
  <sheetFormatPr defaultRowHeight="17"/>
  <cols>
    <col min="1" max="19" width="3.36328125" style="194" customWidth="1"/>
    <col min="20" max="20" width="3.6328125" style="73" customWidth="1"/>
    <col min="21" max="21" width="14.08984375" style="186" customWidth="1"/>
    <col min="22" max="22" width="13.453125" style="186" customWidth="1"/>
    <col min="23" max="23" width="12.54296875" style="186" customWidth="1"/>
    <col min="24" max="24" width="9.08984375" style="186" customWidth="1"/>
    <col min="25" max="25" width="0.90625" customWidth="1"/>
    <col min="26" max="33" width="3.6328125" style="186" customWidth="1"/>
    <col min="34" max="34" width="3.6328125" style="187" customWidth="1"/>
    <col min="35" max="35" width="8.7265625" style="187"/>
    <col min="36" max="36" width="3.6328125" style="186" customWidth="1"/>
    <col min="37" max="47" width="3.6328125" style="73" customWidth="1"/>
    <col min="48" max="54" width="3.6328125" style="77" customWidth="1"/>
    <col min="55" max="73" width="5.6328125" style="77" customWidth="1"/>
    <col min="74" max="77" width="5.6328125" style="73" customWidth="1"/>
    <col min="78" max="83" width="2.453125" style="73" customWidth="1"/>
    <col min="84" max="16384" width="8.7265625" style="73"/>
  </cols>
  <sheetData>
    <row r="1" spans="1:78" ht="16" customHeight="1"/>
    <row r="2" spans="1:78" ht="16" customHeight="1">
      <c r="J2" s="195"/>
      <c r="K2" s="195"/>
      <c r="L2" s="195"/>
      <c r="M2" s="195"/>
      <c r="N2" s="195"/>
      <c r="O2" s="195"/>
      <c r="P2" s="195"/>
      <c r="Q2" s="195"/>
      <c r="R2" s="195"/>
      <c r="S2" s="195"/>
    </row>
    <row r="3" spans="1:78" ht="16" customHeight="1">
      <c r="J3" s="196"/>
      <c r="K3" s="196"/>
      <c r="L3" s="196"/>
      <c r="M3" s="295" t="s">
        <v>335</v>
      </c>
      <c r="N3" s="296"/>
      <c r="O3" s="267" t="s">
        <v>280</v>
      </c>
      <c r="P3" s="267"/>
      <c r="Q3" s="267"/>
      <c r="R3" s="267"/>
      <c r="S3" s="196"/>
    </row>
    <row r="4" spans="1:78" ht="16" customHeight="1">
      <c r="J4" s="196"/>
      <c r="K4" s="196"/>
      <c r="L4" s="196"/>
      <c r="M4" s="295" t="s">
        <v>336</v>
      </c>
      <c r="N4" s="296"/>
      <c r="O4" s="265" t="str">
        <f>COUNTIF(X7:X87,"&gt;0")&amp;"x"&amp;O3</f>
        <v>1x20'</v>
      </c>
      <c r="P4" s="265"/>
      <c r="Q4" s="265"/>
      <c r="R4" s="265"/>
      <c r="S4" s="196"/>
      <c r="AV4" s="79"/>
      <c r="AW4" s="79"/>
      <c r="AX4" s="79"/>
      <c r="AY4" s="79"/>
      <c r="AZ4" s="79"/>
      <c r="BA4" s="79"/>
      <c r="BB4" s="79"/>
      <c r="BC4" s="79"/>
      <c r="BD4" s="79"/>
      <c r="BE4" s="79"/>
      <c r="BF4" s="79"/>
      <c r="BG4" s="79"/>
      <c r="BH4" s="79"/>
      <c r="BI4" s="79"/>
      <c r="BJ4" s="79"/>
      <c r="BK4" s="79"/>
      <c r="BL4" s="79"/>
      <c r="BM4" s="79"/>
      <c r="BN4" s="79"/>
      <c r="BO4" s="79"/>
      <c r="BP4" s="79"/>
      <c r="BQ4" s="79"/>
      <c r="BR4" s="76"/>
      <c r="BS4" s="76"/>
      <c r="BT4" s="76"/>
      <c r="BU4" s="76"/>
    </row>
    <row r="5" spans="1:78" s="86" customFormat="1" ht="16" customHeight="1">
      <c r="A5" s="197" t="s">
        <v>19</v>
      </c>
      <c r="B5" s="198"/>
      <c r="C5" s="198"/>
      <c r="D5" s="197"/>
      <c r="E5" s="197" t="str">
        <f>裝櫃表格!Q51&amp;" coils were stuffed into "&amp;O4&amp;" containers as the following distributions: "</f>
        <v xml:space="preserve">135 coils were stuffed into 1x20' containers as the following distributions: </v>
      </c>
      <c r="F5" s="198"/>
      <c r="G5" s="198"/>
      <c r="H5" s="198"/>
      <c r="I5" s="199"/>
      <c r="J5" s="199"/>
      <c r="K5" s="199"/>
      <c r="L5" s="200"/>
      <c r="M5" s="199"/>
      <c r="N5" s="199"/>
      <c r="O5" s="199"/>
      <c r="P5" s="200"/>
      <c r="Q5" s="201"/>
      <c r="R5" s="201"/>
      <c r="S5" s="197"/>
      <c r="U5" s="188"/>
      <c r="V5" s="188"/>
      <c r="W5" s="188"/>
      <c r="X5" s="188"/>
      <c r="Z5" s="188"/>
      <c r="AA5" s="188"/>
      <c r="AB5" s="188"/>
      <c r="AC5" s="188"/>
      <c r="AD5" s="188"/>
      <c r="AE5" s="188"/>
      <c r="AF5" s="188"/>
      <c r="AG5" s="188"/>
      <c r="AH5" s="188"/>
      <c r="AI5" s="188"/>
      <c r="AJ5" s="188"/>
      <c r="BA5" s="136"/>
      <c r="BB5" s="136"/>
      <c r="BC5" s="136"/>
      <c r="BD5" s="136"/>
      <c r="BE5" s="136"/>
      <c r="BF5" s="136"/>
      <c r="BG5" s="135"/>
      <c r="BH5" s="135"/>
      <c r="BI5" s="96"/>
      <c r="BJ5" s="96"/>
      <c r="BK5" s="96"/>
      <c r="BL5" s="97"/>
      <c r="BM5" s="97"/>
      <c r="BN5" s="97"/>
      <c r="BO5" s="97"/>
      <c r="BP5" s="97"/>
      <c r="BQ5" s="97"/>
      <c r="BR5" s="97"/>
      <c r="BS5" s="97"/>
      <c r="BT5" s="97"/>
      <c r="BU5" s="97"/>
      <c r="BV5" s="97"/>
      <c r="BW5" s="97"/>
      <c r="BX5" s="97"/>
      <c r="BY5" s="97"/>
      <c r="BZ5" s="97"/>
    </row>
    <row r="6" spans="1:78" s="86" customFormat="1" ht="16" customHeight="1">
      <c r="A6" s="298" t="s">
        <v>269</v>
      </c>
      <c r="B6" s="298"/>
      <c r="C6" s="298"/>
      <c r="D6" s="298"/>
      <c r="E6" s="200"/>
      <c r="F6" s="265" t="s">
        <v>270</v>
      </c>
      <c r="G6" s="265"/>
      <c r="H6" s="265"/>
      <c r="I6" s="265"/>
      <c r="J6" s="265"/>
      <c r="K6" s="265"/>
      <c r="L6" s="202"/>
      <c r="M6" s="265" t="s">
        <v>178</v>
      </c>
      <c r="N6" s="265"/>
      <c r="O6" s="265"/>
      <c r="P6" s="265"/>
      <c r="Q6" s="265"/>
      <c r="R6" s="200"/>
      <c r="S6" s="200"/>
      <c r="U6" s="189" t="s">
        <v>333</v>
      </c>
      <c r="V6" s="189" t="s">
        <v>334</v>
      </c>
      <c r="W6" s="189" t="s">
        <v>334</v>
      </c>
      <c r="X6" s="190" t="s">
        <v>279</v>
      </c>
      <c r="Z6" s="297" t="s">
        <v>271</v>
      </c>
      <c r="AA6" s="297"/>
      <c r="AB6" s="297"/>
      <c r="AC6" s="297"/>
      <c r="AD6" s="297"/>
      <c r="AE6" s="297"/>
      <c r="AF6" s="297"/>
      <c r="AG6" s="297"/>
      <c r="AH6" s="297"/>
      <c r="AI6" s="188"/>
      <c r="AJ6" s="188"/>
      <c r="AK6" s="164"/>
      <c r="BA6" s="99"/>
      <c r="BB6" s="99"/>
      <c r="BC6" s="99"/>
      <c r="BD6" s="99"/>
      <c r="BE6" s="99"/>
      <c r="BF6" s="99"/>
      <c r="BG6" s="92"/>
      <c r="BH6" s="92"/>
      <c r="BI6" s="96"/>
      <c r="BJ6" s="96"/>
      <c r="BK6" s="96"/>
      <c r="BL6" s="97"/>
      <c r="BM6" s="97"/>
      <c r="BN6" s="97"/>
      <c r="BO6" s="97"/>
      <c r="BP6" s="97"/>
      <c r="BQ6" s="97"/>
      <c r="BR6" s="97"/>
      <c r="BS6" s="97"/>
      <c r="BT6" s="97"/>
      <c r="BU6" s="97"/>
      <c r="BV6" s="97"/>
      <c r="BW6" s="97"/>
      <c r="BX6" s="97"/>
      <c r="BY6" s="97"/>
      <c r="BZ6" s="97"/>
    </row>
    <row r="7" spans="1:78" s="86" customFormat="1" ht="16" customHeight="1">
      <c r="A7" s="200" t="str">
        <f>IF(U7="","",U7)</f>
        <v>TRHU1806303</v>
      </c>
      <c r="B7" s="200"/>
      <c r="C7" s="200"/>
      <c r="D7" s="200"/>
      <c r="E7" s="200"/>
      <c r="F7" s="202" t="str">
        <f>IF(A7="","",X7&amp;" "&amp;裝櫃表格!$W$34&amp;AJ7)</f>
        <v>3 coil (No. 1, 8, 6)</v>
      </c>
      <c r="G7" s="202"/>
      <c r="H7" s="202"/>
      <c r="I7" s="202"/>
      <c r="J7" s="202"/>
      <c r="K7" s="202"/>
      <c r="L7" s="200"/>
      <c r="M7" s="203" t="str">
        <f>IF(W7&lt;&gt;"",V7&amp;"/"&amp;W7,IF(V7="","",V7))</f>
        <v>CML4151091</v>
      </c>
      <c r="N7" s="203"/>
      <c r="O7" s="203"/>
      <c r="P7" s="203"/>
      <c r="Q7" s="203"/>
      <c r="R7" s="200"/>
      <c r="S7" s="200"/>
      <c r="T7" s="98"/>
      <c r="U7" s="185" t="s">
        <v>313</v>
      </c>
      <c r="V7" s="185" t="s">
        <v>314</v>
      </c>
      <c r="W7" s="185"/>
      <c r="X7" s="192">
        <v>3</v>
      </c>
      <c r="Y7" s="170"/>
      <c r="Z7" s="193">
        <v>1</v>
      </c>
      <c r="AA7" s="193">
        <v>8</v>
      </c>
      <c r="AB7" s="193">
        <v>6</v>
      </c>
      <c r="AC7" s="193"/>
      <c r="AD7" s="193"/>
      <c r="AE7" s="193"/>
      <c r="AF7" s="193"/>
      <c r="AG7" s="193"/>
      <c r="AH7" s="193"/>
      <c r="AI7" s="188"/>
      <c r="AJ7" s="188" t="str">
        <f>IF(Z7="",""," (No. "&amp;_xlfn.TEXTJOIN(", ",TRUE,Z7:AH7)&amp;")")</f>
        <v xml:space="preserve"> (No. 1, 8, 6)</v>
      </c>
      <c r="BA7" s="99"/>
      <c r="BB7" s="99"/>
      <c r="BC7" s="99"/>
      <c r="BD7" s="99"/>
      <c r="BE7" s="99"/>
      <c r="BF7" s="99"/>
      <c r="BG7" s="92"/>
      <c r="BH7" s="92"/>
      <c r="BI7" s="96"/>
      <c r="BJ7" s="96"/>
      <c r="BK7" s="96"/>
      <c r="BL7" s="97"/>
      <c r="BM7" s="97"/>
      <c r="BN7" s="97"/>
      <c r="BO7" s="97"/>
      <c r="BP7" s="97"/>
      <c r="BQ7" s="97"/>
      <c r="BR7" s="97"/>
      <c r="BS7" s="97"/>
      <c r="BT7" s="97"/>
      <c r="BU7" s="97"/>
      <c r="BV7" s="97"/>
      <c r="BW7" s="97"/>
      <c r="BX7" s="97"/>
      <c r="BY7" s="97"/>
      <c r="BZ7" s="97"/>
    </row>
    <row r="8" spans="1:78" s="86" customFormat="1" ht="16" customHeight="1">
      <c r="A8" s="200" t="str">
        <f t="shared" ref="A8:A71" si="0">IF(U8="","",U8)</f>
        <v/>
      </c>
      <c r="B8" s="200"/>
      <c r="C8" s="200"/>
      <c r="D8" s="200"/>
      <c r="E8" s="200"/>
      <c r="F8" s="202" t="str">
        <f>IF(A8="","",X8&amp;" "&amp;裝櫃表格!$W$34&amp;AJ8)</f>
        <v/>
      </c>
      <c r="G8" s="202"/>
      <c r="H8" s="202"/>
      <c r="I8" s="202"/>
      <c r="J8" s="202"/>
      <c r="K8" s="202"/>
      <c r="L8" s="200"/>
      <c r="M8" s="203" t="str">
        <f t="shared" ref="M8:M71" si="1">IF(W8&lt;&gt;"",V8&amp;"/"&amp;W8,IF(V8="","",V8))</f>
        <v/>
      </c>
      <c r="N8" s="203"/>
      <c r="O8" s="203"/>
      <c r="P8" s="203"/>
      <c r="Q8" s="203"/>
      <c r="R8" s="200"/>
      <c r="S8" s="200"/>
      <c r="T8" s="98"/>
      <c r="U8" s="191"/>
      <c r="V8" s="191"/>
      <c r="W8" s="191"/>
      <c r="X8" s="192"/>
      <c r="Z8" s="193"/>
      <c r="AA8" s="193"/>
      <c r="AB8" s="193"/>
      <c r="AC8" s="193"/>
      <c r="AD8" s="193"/>
      <c r="AE8" s="193"/>
      <c r="AF8" s="193"/>
      <c r="AG8" s="193"/>
      <c r="AH8" s="193"/>
      <c r="AI8" s="188"/>
      <c r="AJ8" s="188" t="str">
        <f t="shared" ref="AJ8:AJ71" si="2">IF(Z8="",""," (No. "&amp;_xlfn.TEXTJOIN(", ",TRUE,Z8:AH8)&amp;")")</f>
        <v/>
      </c>
      <c r="BA8" s="108"/>
      <c r="BB8" s="108"/>
      <c r="BC8" s="108"/>
      <c r="BD8" s="108"/>
      <c r="BE8" s="108"/>
      <c r="BF8" s="108"/>
      <c r="BG8" s="107"/>
      <c r="BH8" s="107"/>
      <c r="BI8" s="96"/>
      <c r="BJ8" s="96"/>
      <c r="BK8" s="96"/>
      <c r="BL8" s="97"/>
      <c r="BM8" s="97"/>
      <c r="BN8" s="97"/>
      <c r="BO8" s="97"/>
      <c r="BP8" s="97"/>
      <c r="BQ8" s="97"/>
      <c r="BR8" s="97"/>
      <c r="BS8" s="97"/>
      <c r="BT8" s="97"/>
      <c r="BU8" s="97"/>
      <c r="BV8" s="97"/>
      <c r="BW8" s="97"/>
      <c r="BX8" s="97"/>
      <c r="BY8" s="97"/>
      <c r="BZ8" s="97"/>
    </row>
    <row r="9" spans="1:78" s="86" customFormat="1" ht="16" customHeight="1">
      <c r="A9" s="200" t="str">
        <f t="shared" si="0"/>
        <v/>
      </c>
      <c r="B9" s="200"/>
      <c r="C9" s="200"/>
      <c r="D9" s="200"/>
      <c r="E9" s="200"/>
      <c r="F9" s="202" t="str">
        <f>IF(A9="","",X9&amp;" "&amp;裝櫃表格!$W$34&amp;AJ9)</f>
        <v/>
      </c>
      <c r="G9" s="202"/>
      <c r="H9" s="202"/>
      <c r="I9" s="202"/>
      <c r="J9" s="202"/>
      <c r="K9" s="202"/>
      <c r="L9" s="200"/>
      <c r="M9" s="203" t="str">
        <f t="shared" si="1"/>
        <v/>
      </c>
      <c r="N9" s="203"/>
      <c r="O9" s="203"/>
      <c r="P9" s="203"/>
      <c r="Q9" s="203"/>
      <c r="R9" s="200"/>
      <c r="S9" s="200"/>
      <c r="T9" s="98"/>
      <c r="U9" s="191"/>
      <c r="V9" s="191"/>
      <c r="W9" s="191"/>
      <c r="X9" s="192"/>
      <c r="Z9" s="193"/>
      <c r="AA9" s="193"/>
      <c r="AB9" s="193"/>
      <c r="AC9" s="193"/>
      <c r="AD9" s="193"/>
      <c r="AE9" s="193"/>
      <c r="AF9" s="193"/>
      <c r="AG9" s="193"/>
      <c r="AH9" s="193"/>
      <c r="AI9" s="188"/>
      <c r="AJ9" s="188" t="str">
        <f t="shared" si="2"/>
        <v/>
      </c>
      <c r="BA9" s="99"/>
      <c r="BB9" s="99"/>
      <c r="BC9" s="99"/>
      <c r="BD9" s="99"/>
      <c r="BE9" s="99"/>
      <c r="BF9" s="99"/>
      <c r="BG9" s="92"/>
      <c r="BH9" s="92"/>
      <c r="BI9" s="96"/>
      <c r="BJ9" s="96"/>
      <c r="BK9" s="96"/>
      <c r="BL9" s="97"/>
      <c r="BM9" s="97"/>
      <c r="BN9" s="97"/>
      <c r="BO9" s="97"/>
      <c r="BP9" s="97"/>
      <c r="BQ9" s="97"/>
      <c r="BR9" s="97"/>
      <c r="BS9" s="97"/>
      <c r="BT9" s="97"/>
      <c r="BU9" s="97"/>
      <c r="BV9" s="97"/>
      <c r="BW9" s="97"/>
      <c r="BX9" s="97"/>
      <c r="BY9" s="97"/>
      <c r="BZ9" s="97"/>
    </row>
    <row r="10" spans="1:78" s="86" customFormat="1" ht="16" customHeight="1">
      <c r="A10" s="200" t="str">
        <f t="shared" si="0"/>
        <v/>
      </c>
      <c r="B10" s="200"/>
      <c r="C10" s="200"/>
      <c r="D10" s="200"/>
      <c r="E10" s="200"/>
      <c r="F10" s="202" t="str">
        <f>IF(A10="","",X10&amp;" "&amp;裝櫃表格!$W$34&amp;AJ10)</f>
        <v/>
      </c>
      <c r="G10" s="202"/>
      <c r="H10" s="202"/>
      <c r="I10" s="202"/>
      <c r="J10" s="202"/>
      <c r="K10" s="202"/>
      <c r="L10" s="200"/>
      <c r="M10" s="203" t="str">
        <f t="shared" si="1"/>
        <v/>
      </c>
      <c r="N10" s="203"/>
      <c r="O10" s="203"/>
      <c r="P10" s="203"/>
      <c r="Q10" s="203"/>
      <c r="R10" s="200"/>
      <c r="S10" s="200"/>
      <c r="T10" s="98"/>
      <c r="U10" s="191"/>
      <c r="V10" s="191"/>
      <c r="W10" s="191"/>
      <c r="X10" s="192"/>
      <c r="Z10" s="193"/>
      <c r="AA10" s="193"/>
      <c r="AB10" s="193"/>
      <c r="AC10" s="193"/>
      <c r="AD10" s="193"/>
      <c r="AE10" s="193"/>
      <c r="AF10" s="193"/>
      <c r="AG10" s="193"/>
      <c r="AH10" s="193"/>
      <c r="AI10" s="188"/>
      <c r="AJ10" s="188" t="str">
        <f t="shared" si="2"/>
        <v/>
      </c>
      <c r="BA10" s="99"/>
      <c r="BB10" s="99"/>
      <c r="BC10" s="99"/>
      <c r="BD10" s="99"/>
      <c r="BE10" s="99"/>
      <c r="BF10" s="99"/>
      <c r="BG10" s="92"/>
      <c r="BH10" s="92"/>
      <c r="BI10" s="96"/>
      <c r="BJ10" s="96"/>
      <c r="BK10" s="96"/>
      <c r="BL10" s="97"/>
      <c r="BM10" s="97"/>
      <c r="BN10" s="97"/>
      <c r="BO10" s="97"/>
      <c r="BP10" s="97"/>
      <c r="BQ10" s="97"/>
      <c r="BR10" s="97"/>
      <c r="BS10" s="97"/>
      <c r="BT10" s="97"/>
      <c r="BU10" s="97"/>
      <c r="BV10" s="97"/>
      <c r="BW10" s="97"/>
      <c r="BX10" s="97"/>
      <c r="BY10" s="97"/>
      <c r="BZ10" s="97"/>
    </row>
    <row r="11" spans="1:78" s="86" customFormat="1" ht="16" customHeight="1">
      <c r="A11" s="200" t="str">
        <f t="shared" si="0"/>
        <v/>
      </c>
      <c r="B11" s="200"/>
      <c r="C11" s="200"/>
      <c r="D11" s="200"/>
      <c r="E11" s="200"/>
      <c r="F11" s="202" t="str">
        <f>IF(A11="","",X11&amp;" "&amp;裝櫃表格!$W$34&amp;AJ11)</f>
        <v/>
      </c>
      <c r="G11" s="202"/>
      <c r="H11" s="202"/>
      <c r="I11" s="202"/>
      <c r="J11" s="202"/>
      <c r="K11" s="202"/>
      <c r="L11" s="200"/>
      <c r="M11" s="203" t="str">
        <f t="shared" si="1"/>
        <v/>
      </c>
      <c r="N11" s="203"/>
      <c r="O11" s="203"/>
      <c r="P11" s="203"/>
      <c r="Q11" s="203"/>
      <c r="R11" s="200"/>
      <c r="S11" s="200"/>
      <c r="T11" s="98"/>
      <c r="U11" s="191"/>
      <c r="V11" s="191"/>
      <c r="W11" s="191"/>
      <c r="X11" s="192"/>
      <c r="Z11" s="193"/>
      <c r="AA11" s="193"/>
      <c r="AB11" s="193"/>
      <c r="AC11" s="193"/>
      <c r="AD11" s="193"/>
      <c r="AE11" s="193"/>
      <c r="AF11" s="193"/>
      <c r="AG11" s="193"/>
      <c r="AH11" s="193"/>
      <c r="AI11" s="188"/>
      <c r="AJ11" s="188" t="str">
        <f t="shared" si="2"/>
        <v/>
      </c>
      <c r="BA11" s="99"/>
      <c r="BB11" s="99"/>
      <c r="BC11" s="99"/>
      <c r="BD11" s="99"/>
      <c r="BE11" s="99"/>
      <c r="BF11" s="99"/>
      <c r="BG11" s="92"/>
      <c r="BH11" s="92"/>
      <c r="BI11" s="96"/>
      <c r="BJ11" s="96"/>
      <c r="BK11" s="96"/>
      <c r="BL11" s="97"/>
      <c r="BM11" s="97"/>
      <c r="BN11" s="97"/>
      <c r="BO11" s="97"/>
      <c r="BP11" s="97"/>
      <c r="BQ11" s="97"/>
      <c r="BR11" s="97"/>
      <c r="BS11" s="97"/>
      <c r="BT11" s="97"/>
      <c r="BU11" s="97"/>
      <c r="BV11" s="97"/>
      <c r="BW11" s="97"/>
      <c r="BX11" s="97"/>
      <c r="BY11" s="97"/>
      <c r="BZ11" s="97"/>
    </row>
    <row r="12" spans="1:78" s="86" customFormat="1" ht="16" customHeight="1">
      <c r="A12" s="200" t="str">
        <f t="shared" si="0"/>
        <v/>
      </c>
      <c r="B12" s="200"/>
      <c r="C12" s="200"/>
      <c r="D12" s="200"/>
      <c r="E12" s="200"/>
      <c r="F12" s="202" t="str">
        <f>IF(A12="","",X12&amp;" "&amp;裝櫃表格!$W$34&amp;AJ12)</f>
        <v/>
      </c>
      <c r="G12" s="202"/>
      <c r="H12" s="202"/>
      <c r="I12" s="202"/>
      <c r="J12" s="202"/>
      <c r="K12" s="202"/>
      <c r="L12" s="200"/>
      <c r="M12" s="203" t="str">
        <f t="shared" si="1"/>
        <v/>
      </c>
      <c r="N12" s="203"/>
      <c r="O12" s="203"/>
      <c r="P12" s="203"/>
      <c r="Q12" s="203"/>
      <c r="R12" s="200"/>
      <c r="S12" s="200"/>
      <c r="T12" s="98"/>
      <c r="U12" s="191"/>
      <c r="V12" s="191"/>
      <c r="W12" s="191"/>
      <c r="X12" s="192"/>
      <c r="Z12" s="193"/>
      <c r="AA12" s="193"/>
      <c r="AB12" s="193"/>
      <c r="AC12" s="193"/>
      <c r="AD12" s="193"/>
      <c r="AE12" s="193"/>
      <c r="AF12" s="193"/>
      <c r="AG12" s="193"/>
      <c r="AH12" s="193"/>
      <c r="AI12" s="188"/>
      <c r="AJ12" s="188" t="str">
        <f t="shared" si="2"/>
        <v/>
      </c>
      <c r="BA12" s="99"/>
      <c r="BB12" s="99"/>
      <c r="BC12" s="99"/>
      <c r="BD12" s="99"/>
      <c r="BE12" s="99"/>
      <c r="BF12" s="99"/>
      <c r="BG12" s="92"/>
      <c r="BH12" s="92"/>
      <c r="BI12" s="96"/>
      <c r="BJ12" s="96"/>
      <c r="BK12" s="96"/>
      <c r="BL12" s="97"/>
      <c r="BM12" s="97"/>
      <c r="BN12" s="97"/>
      <c r="BO12" s="97"/>
      <c r="BP12" s="97"/>
      <c r="BQ12" s="97"/>
      <c r="BR12" s="97"/>
      <c r="BS12" s="97"/>
      <c r="BT12" s="97"/>
      <c r="BU12" s="97"/>
      <c r="BV12" s="97"/>
      <c r="BW12" s="97"/>
      <c r="BX12" s="97"/>
      <c r="BY12" s="97"/>
      <c r="BZ12" s="97"/>
    </row>
    <row r="13" spans="1:78" s="86" customFormat="1" ht="16" customHeight="1">
      <c r="A13" s="200" t="str">
        <f t="shared" si="0"/>
        <v/>
      </c>
      <c r="B13" s="200"/>
      <c r="C13" s="200"/>
      <c r="D13" s="200"/>
      <c r="E13" s="200"/>
      <c r="F13" s="202" t="str">
        <f>IF(A13="","",X13&amp;" "&amp;裝櫃表格!$W$34&amp;AJ13)</f>
        <v/>
      </c>
      <c r="G13" s="202"/>
      <c r="H13" s="202"/>
      <c r="I13" s="202"/>
      <c r="J13" s="202"/>
      <c r="K13" s="202"/>
      <c r="L13" s="200"/>
      <c r="M13" s="203" t="str">
        <f t="shared" si="1"/>
        <v/>
      </c>
      <c r="N13" s="203"/>
      <c r="O13" s="203"/>
      <c r="P13" s="203"/>
      <c r="Q13" s="203"/>
      <c r="R13" s="200"/>
      <c r="S13" s="200"/>
      <c r="T13" s="98"/>
      <c r="U13" s="191"/>
      <c r="V13" s="191"/>
      <c r="W13" s="191"/>
      <c r="X13" s="192"/>
      <c r="Z13" s="193"/>
      <c r="AA13" s="193"/>
      <c r="AB13" s="193"/>
      <c r="AC13" s="193"/>
      <c r="AD13" s="193"/>
      <c r="AE13" s="193"/>
      <c r="AF13" s="193"/>
      <c r="AG13" s="193"/>
      <c r="AH13" s="193"/>
      <c r="AI13" s="188"/>
      <c r="AJ13" s="188" t="str">
        <f t="shared" si="2"/>
        <v/>
      </c>
      <c r="BA13" s="99"/>
      <c r="BB13" s="99"/>
      <c r="BC13" s="99"/>
      <c r="BD13" s="99"/>
      <c r="BE13" s="99"/>
      <c r="BF13" s="99"/>
      <c r="BG13" s="92"/>
      <c r="BH13" s="92"/>
      <c r="BI13" s="96"/>
      <c r="BJ13" s="96"/>
      <c r="BK13" s="96"/>
      <c r="BL13" s="97"/>
      <c r="BM13" s="97"/>
      <c r="BN13" s="97"/>
      <c r="BO13" s="97"/>
      <c r="BP13" s="97"/>
      <c r="BQ13" s="97"/>
      <c r="BR13" s="97"/>
      <c r="BS13" s="97"/>
      <c r="BT13" s="97"/>
      <c r="BU13" s="97"/>
      <c r="BV13" s="97"/>
      <c r="BW13" s="97"/>
      <c r="BX13" s="97"/>
      <c r="BY13" s="97"/>
      <c r="BZ13" s="97"/>
    </row>
    <row r="14" spans="1:78" s="86" customFormat="1" ht="16" customHeight="1">
      <c r="A14" s="200" t="str">
        <f t="shared" si="0"/>
        <v/>
      </c>
      <c r="B14" s="200"/>
      <c r="C14" s="200"/>
      <c r="D14" s="200"/>
      <c r="E14" s="200"/>
      <c r="F14" s="202" t="str">
        <f>IF(A14="","",X14&amp;" "&amp;裝櫃表格!$W$34&amp;AJ14)</f>
        <v/>
      </c>
      <c r="G14" s="202"/>
      <c r="H14" s="202"/>
      <c r="I14" s="202"/>
      <c r="J14" s="202"/>
      <c r="K14" s="202"/>
      <c r="L14" s="200"/>
      <c r="M14" s="203" t="str">
        <f t="shared" si="1"/>
        <v/>
      </c>
      <c r="N14" s="203"/>
      <c r="O14" s="203"/>
      <c r="P14" s="203"/>
      <c r="Q14" s="203"/>
      <c r="R14" s="200"/>
      <c r="S14" s="200"/>
      <c r="T14" s="98"/>
      <c r="U14" s="191"/>
      <c r="V14" s="191"/>
      <c r="W14" s="191"/>
      <c r="X14" s="192"/>
      <c r="Z14" s="193"/>
      <c r="AA14" s="193"/>
      <c r="AB14" s="193"/>
      <c r="AC14" s="193"/>
      <c r="AD14" s="193"/>
      <c r="AE14" s="193"/>
      <c r="AF14" s="193"/>
      <c r="AG14" s="193"/>
      <c r="AH14" s="193"/>
      <c r="AI14" s="188"/>
      <c r="AJ14" s="188" t="str">
        <f t="shared" si="2"/>
        <v/>
      </c>
      <c r="BA14" s="162"/>
      <c r="BB14" s="162"/>
      <c r="BC14" s="162"/>
      <c r="BD14" s="162"/>
      <c r="BE14" s="162"/>
      <c r="BF14" s="162"/>
      <c r="BG14" s="161"/>
      <c r="BH14" s="161"/>
      <c r="BI14" s="96"/>
      <c r="BJ14" s="96"/>
      <c r="BK14" s="96"/>
      <c r="BL14" s="97"/>
      <c r="BM14" s="97"/>
      <c r="BN14" s="97"/>
      <c r="BO14" s="97"/>
      <c r="BP14" s="97"/>
      <c r="BQ14" s="97"/>
      <c r="BR14" s="97"/>
      <c r="BS14" s="97"/>
      <c r="BT14" s="97"/>
      <c r="BU14" s="97"/>
      <c r="BV14" s="97"/>
      <c r="BW14" s="97"/>
      <c r="BX14" s="97"/>
      <c r="BY14" s="97"/>
      <c r="BZ14" s="97"/>
    </row>
    <row r="15" spans="1:78" s="86" customFormat="1" ht="16" customHeight="1">
      <c r="A15" s="200" t="str">
        <f t="shared" si="0"/>
        <v/>
      </c>
      <c r="B15" s="200"/>
      <c r="C15" s="200"/>
      <c r="D15" s="200"/>
      <c r="E15" s="200"/>
      <c r="F15" s="202" t="str">
        <f>IF(A15="","",X15&amp;" "&amp;裝櫃表格!$W$34&amp;AJ15)</f>
        <v/>
      </c>
      <c r="G15" s="202"/>
      <c r="H15" s="202"/>
      <c r="I15" s="202"/>
      <c r="J15" s="202"/>
      <c r="K15" s="202"/>
      <c r="L15" s="200"/>
      <c r="M15" s="203" t="str">
        <f t="shared" si="1"/>
        <v/>
      </c>
      <c r="N15" s="203"/>
      <c r="O15" s="203"/>
      <c r="P15" s="203"/>
      <c r="Q15" s="203"/>
      <c r="R15" s="200"/>
      <c r="S15" s="200"/>
      <c r="T15" s="98"/>
      <c r="U15" s="191"/>
      <c r="V15" s="191"/>
      <c r="W15" s="191"/>
      <c r="X15" s="192"/>
      <c r="Z15" s="193"/>
      <c r="AA15" s="193"/>
      <c r="AB15" s="193"/>
      <c r="AC15" s="193"/>
      <c r="AD15" s="193"/>
      <c r="AE15" s="193"/>
      <c r="AF15" s="193"/>
      <c r="AG15" s="193"/>
      <c r="AH15" s="193"/>
      <c r="AI15" s="188"/>
      <c r="AJ15" s="188" t="str">
        <f t="shared" si="2"/>
        <v/>
      </c>
      <c r="BA15" s="162"/>
      <c r="BB15" s="162"/>
      <c r="BC15" s="162"/>
      <c r="BD15" s="162"/>
      <c r="BE15" s="162"/>
      <c r="BF15" s="162"/>
      <c r="BG15" s="161"/>
      <c r="BH15" s="161"/>
      <c r="BI15" s="96"/>
      <c r="BJ15" s="96"/>
      <c r="BK15" s="96"/>
      <c r="BL15" s="97"/>
      <c r="BM15" s="97"/>
      <c r="BN15" s="97"/>
      <c r="BO15" s="97"/>
      <c r="BP15" s="97"/>
      <c r="BQ15" s="97"/>
      <c r="BR15" s="97"/>
      <c r="BS15" s="97"/>
      <c r="BT15" s="97"/>
      <c r="BU15" s="97"/>
      <c r="BV15" s="97"/>
      <c r="BW15" s="97"/>
      <c r="BX15" s="97"/>
      <c r="BY15" s="97"/>
      <c r="BZ15" s="97"/>
    </row>
    <row r="16" spans="1:78" s="86" customFormat="1" ht="16" customHeight="1">
      <c r="A16" s="200" t="str">
        <f t="shared" si="0"/>
        <v/>
      </c>
      <c r="B16" s="200"/>
      <c r="C16" s="200"/>
      <c r="D16" s="200"/>
      <c r="E16" s="200"/>
      <c r="F16" s="202" t="str">
        <f>IF(A16="","",X16&amp;" "&amp;裝櫃表格!$W$34&amp;AJ16)</f>
        <v/>
      </c>
      <c r="G16" s="202"/>
      <c r="H16" s="202"/>
      <c r="I16" s="202"/>
      <c r="J16" s="202"/>
      <c r="K16" s="202"/>
      <c r="L16" s="200"/>
      <c r="M16" s="203" t="str">
        <f t="shared" si="1"/>
        <v/>
      </c>
      <c r="N16" s="203"/>
      <c r="O16" s="203"/>
      <c r="P16" s="203"/>
      <c r="Q16" s="203"/>
      <c r="R16" s="200"/>
      <c r="S16" s="200"/>
      <c r="T16" s="98"/>
      <c r="U16" s="191"/>
      <c r="V16" s="191"/>
      <c r="W16" s="191"/>
      <c r="X16" s="192"/>
      <c r="Z16" s="193"/>
      <c r="AA16" s="193"/>
      <c r="AB16" s="193"/>
      <c r="AC16" s="193"/>
      <c r="AD16" s="193"/>
      <c r="AE16" s="193"/>
      <c r="AF16" s="193"/>
      <c r="AG16" s="193"/>
      <c r="AH16" s="193"/>
      <c r="AI16" s="188"/>
      <c r="AJ16" s="188" t="str">
        <f t="shared" si="2"/>
        <v/>
      </c>
      <c r="BA16" s="162"/>
      <c r="BB16" s="162"/>
      <c r="BC16" s="162"/>
      <c r="BD16" s="162"/>
      <c r="BE16" s="162"/>
      <c r="BF16" s="162"/>
      <c r="BG16" s="161"/>
      <c r="BH16" s="161"/>
      <c r="BI16" s="96"/>
      <c r="BJ16" s="96"/>
      <c r="BK16" s="96"/>
      <c r="BL16" s="97"/>
      <c r="BM16" s="97"/>
      <c r="BN16" s="97"/>
      <c r="BO16" s="97"/>
      <c r="BP16" s="97"/>
      <c r="BQ16" s="97"/>
      <c r="BR16" s="97"/>
      <c r="BS16" s="97"/>
      <c r="BT16" s="97"/>
      <c r="BU16" s="97"/>
      <c r="BV16" s="97"/>
      <c r="BW16" s="97"/>
      <c r="BX16" s="97"/>
      <c r="BY16" s="97"/>
      <c r="BZ16" s="97"/>
    </row>
    <row r="17" spans="1:78" s="86" customFormat="1" ht="16" customHeight="1">
      <c r="A17" s="200" t="str">
        <f t="shared" si="0"/>
        <v/>
      </c>
      <c r="B17" s="200"/>
      <c r="C17" s="200"/>
      <c r="D17" s="200"/>
      <c r="E17" s="200"/>
      <c r="F17" s="202" t="str">
        <f>IF(A17="","",X17&amp;" "&amp;裝櫃表格!$W$34&amp;AJ17)</f>
        <v/>
      </c>
      <c r="G17" s="202"/>
      <c r="H17" s="202"/>
      <c r="I17" s="202"/>
      <c r="J17" s="202"/>
      <c r="K17" s="202"/>
      <c r="L17" s="200"/>
      <c r="M17" s="203" t="str">
        <f t="shared" si="1"/>
        <v/>
      </c>
      <c r="N17" s="203"/>
      <c r="O17" s="203"/>
      <c r="P17" s="203"/>
      <c r="Q17" s="203"/>
      <c r="R17" s="200"/>
      <c r="S17" s="200"/>
      <c r="T17" s="98"/>
      <c r="U17" s="191"/>
      <c r="V17" s="191"/>
      <c r="W17" s="191"/>
      <c r="X17" s="192"/>
      <c r="Z17" s="193"/>
      <c r="AA17" s="193"/>
      <c r="AB17" s="193"/>
      <c r="AC17" s="193"/>
      <c r="AD17" s="193"/>
      <c r="AE17" s="193"/>
      <c r="AF17" s="193"/>
      <c r="AG17" s="193"/>
      <c r="AH17" s="193"/>
      <c r="AI17" s="188"/>
      <c r="AJ17" s="188" t="str">
        <f t="shared" si="2"/>
        <v/>
      </c>
      <c r="BA17" s="162"/>
      <c r="BB17" s="162"/>
      <c r="BC17" s="162"/>
      <c r="BD17" s="162"/>
      <c r="BE17" s="162"/>
      <c r="BF17" s="162"/>
      <c r="BG17" s="161"/>
      <c r="BH17" s="161"/>
      <c r="BI17" s="96"/>
      <c r="BJ17" s="96"/>
      <c r="BK17" s="96"/>
      <c r="BL17" s="97"/>
      <c r="BM17" s="97"/>
      <c r="BN17" s="97"/>
      <c r="BO17" s="97"/>
      <c r="BP17" s="97"/>
      <c r="BQ17" s="97"/>
      <c r="BR17" s="97"/>
      <c r="BS17" s="97"/>
      <c r="BT17" s="97"/>
      <c r="BU17" s="97"/>
      <c r="BV17" s="97"/>
      <c r="BW17" s="97"/>
      <c r="BX17" s="97"/>
      <c r="BY17" s="97"/>
      <c r="BZ17" s="97"/>
    </row>
    <row r="18" spans="1:78" s="86" customFormat="1" ht="16" customHeight="1">
      <c r="A18" s="200" t="str">
        <f t="shared" si="0"/>
        <v/>
      </c>
      <c r="B18" s="200"/>
      <c r="C18" s="200"/>
      <c r="D18" s="200"/>
      <c r="E18" s="200"/>
      <c r="F18" s="202" t="str">
        <f>IF(A18="","",X18&amp;" "&amp;裝櫃表格!$W$34&amp;AJ18)</f>
        <v/>
      </c>
      <c r="G18" s="202"/>
      <c r="H18" s="202"/>
      <c r="I18" s="202"/>
      <c r="J18" s="202"/>
      <c r="K18" s="202"/>
      <c r="L18" s="200"/>
      <c r="M18" s="203" t="str">
        <f t="shared" si="1"/>
        <v/>
      </c>
      <c r="N18" s="203"/>
      <c r="O18" s="203"/>
      <c r="P18" s="203"/>
      <c r="Q18" s="203"/>
      <c r="R18" s="200"/>
      <c r="S18" s="200"/>
      <c r="T18" s="98"/>
      <c r="U18" s="191"/>
      <c r="V18" s="191"/>
      <c r="W18" s="191"/>
      <c r="X18" s="192"/>
      <c r="Z18" s="193"/>
      <c r="AA18" s="193"/>
      <c r="AB18" s="193"/>
      <c r="AC18" s="193"/>
      <c r="AD18" s="193"/>
      <c r="AE18" s="193"/>
      <c r="AF18" s="193"/>
      <c r="AG18" s="193"/>
      <c r="AH18" s="193"/>
      <c r="AI18" s="188"/>
      <c r="AJ18" s="188" t="str">
        <f t="shared" si="2"/>
        <v/>
      </c>
      <c r="BA18" s="162"/>
      <c r="BB18" s="162"/>
      <c r="BC18" s="162"/>
      <c r="BD18" s="162"/>
      <c r="BE18" s="162"/>
      <c r="BF18" s="162"/>
      <c r="BG18" s="161"/>
      <c r="BH18" s="161"/>
      <c r="BI18" s="96"/>
      <c r="BJ18" s="96"/>
      <c r="BK18" s="96"/>
      <c r="BL18" s="97"/>
      <c r="BM18" s="97"/>
      <c r="BN18" s="97"/>
      <c r="BO18" s="97"/>
      <c r="BP18" s="97"/>
      <c r="BQ18" s="97"/>
      <c r="BR18" s="97"/>
      <c r="BS18" s="97"/>
      <c r="BT18" s="97"/>
      <c r="BU18" s="97"/>
      <c r="BV18" s="97"/>
      <c r="BW18" s="97"/>
      <c r="BX18" s="97"/>
      <c r="BY18" s="97"/>
      <c r="BZ18" s="97"/>
    </row>
    <row r="19" spans="1:78" s="86" customFormat="1" ht="16" customHeight="1">
      <c r="A19" s="200" t="str">
        <f t="shared" si="0"/>
        <v/>
      </c>
      <c r="B19" s="200"/>
      <c r="C19" s="200"/>
      <c r="D19" s="200"/>
      <c r="E19" s="200"/>
      <c r="F19" s="202" t="str">
        <f>IF(A19="","",X19&amp;" "&amp;裝櫃表格!$W$34&amp;AJ19)</f>
        <v/>
      </c>
      <c r="G19" s="202"/>
      <c r="H19" s="202"/>
      <c r="I19" s="202"/>
      <c r="J19" s="202"/>
      <c r="K19" s="202"/>
      <c r="L19" s="200"/>
      <c r="M19" s="203" t="str">
        <f t="shared" si="1"/>
        <v/>
      </c>
      <c r="N19" s="203"/>
      <c r="O19" s="203"/>
      <c r="P19" s="203"/>
      <c r="Q19" s="203"/>
      <c r="R19" s="200"/>
      <c r="S19" s="200"/>
      <c r="T19" s="98"/>
      <c r="U19" s="191"/>
      <c r="V19" s="191"/>
      <c r="W19" s="191"/>
      <c r="X19" s="192"/>
      <c r="Z19" s="193"/>
      <c r="AA19" s="193"/>
      <c r="AB19" s="193"/>
      <c r="AC19" s="193"/>
      <c r="AD19" s="193"/>
      <c r="AE19" s="193"/>
      <c r="AF19" s="193"/>
      <c r="AG19" s="193"/>
      <c r="AH19" s="193"/>
      <c r="AI19" s="188"/>
      <c r="AJ19" s="188" t="str">
        <f t="shared" si="2"/>
        <v/>
      </c>
      <c r="BA19" s="162"/>
      <c r="BB19" s="162"/>
      <c r="BC19" s="162"/>
      <c r="BD19" s="162"/>
      <c r="BE19" s="162"/>
      <c r="BF19" s="162"/>
      <c r="BG19" s="161"/>
      <c r="BH19" s="161"/>
      <c r="BI19" s="96"/>
      <c r="BJ19" s="96"/>
      <c r="BK19" s="96"/>
      <c r="BL19" s="97"/>
      <c r="BM19" s="97"/>
      <c r="BN19" s="97"/>
      <c r="BO19" s="97"/>
      <c r="BP19" s="97"/>
      <c r="BQ19" s="97"/>
      <c r="BR19" s="97"/>
      <c r="BS19" s="97"/>
      <c r="BT19" s="97"/>
      <c r="BU19" s="97"/>
      <c r="BV19" s="97"/>
      <c r="BW19" s="97"/>
      <c r="BX19" s="97"/>
      <c r="BY19" s="97"/>
      <c r="BZ19" s="97"/>
    </row>
    <row r="20" spans="1:78" s="86" customFormat="1" ht="16" customHeight="1">
      <c r="A20" s="200" t="str">
        <f t="shared" si="0"/>
        <v/>
      </c>
      <c r="B20" s="200"/>
      <c r="C20" s="200"/>
      <c r="D20" s="200"/>
      <c r="E20" s="200"/>
      <c r="F20" s="202" t="str">
        <f>IF(A20="","",X20&amp;" "&amp;裝櫃表格!$W$34&amp;AJ20)</f>
        <v/>
      </c>
      <c r="G20" s="202"/>
      <c r="H20" s="202"/>
      <c r="I20" s="202"/>
      <c r="J20" s="202"/>
      <c r="K20" s="202"/>
      <c r="L20" s="200"/>
      <c r="M20" s="203" t="str">
        <f t="shared" si="1"/>
        <v/>
      </c>
      <c r="N20" s="203"/>
      <c r="O20" s="203"/>
      <c r="P20" s="203"/>
      <c r="Q20" s="203"/>
      <c r="R20" s="200"/>
      <c r="S20" s="200"/>
      <c r="T20" s="98"/>
      <c r="U20" s="191"/>
      <c r="V20" s="191"/>
      <c r="W20" s="191"/>
      <c r="X20" s="192"/>
      <c r="Z20" s="193"/>
      <c r="AA20" s="193"/>
      <c r="AB20" s="193"/>
      <c r="AC20" s="193"/>
      <c r="AD20" s="193"/>
      <c r="AE20" s="193"/>
      <c r="AF20" s="193"/>
      <c r="AG20" s="193"/>
      <c r="AH20" s="193"/>
      <c r="AI20" s="188"/>
      <c r="AJ20" s="188" t="str">
        <f t="shared" si="2"/>
        <v/>
      </c>
      <c r="BA20" s="162"/>
      <c r="BB20" s="162"/>
      <c r="BC20" s="162"/>
      <c r="BD20" s="162"/>
      <c r="BE20" s="162"/>
      <c r="BF20" s="162"/>
      <c r="BG20" s="161"/>
      <c r="BH20" s="161"/>
      <c r="BI20" s="96"/>
      <c r="BJ20" s="96"/>
      <c r="BK20" s="96"/>
      <c r="BL20" s="97"/>
      <c r="BM20" s="97"/>
      <c r="BN20" s="97"/>
      <c r="BO20" s="97"/>
      <c r="BP20" s="97"/>
      <c r="BQ20" s="97"/>
      <c r="BR20" s="97"/>
      <c r="BS20" s="97"/>
      <c r="BT20" s="97"/>
      <c r="BU20" s="97"/>
      <c r="BV20" s="97"/>
      <c r="BW20" s="97"/>
      <c r="BX20" s="97"/>
      <c r="BY20" s="97"/>
      <c r="BZ20" s="97"/>
    </row>
    <row r="21" spans="1:78" s="86" customFormat="1" ht="16" customHeight="1">
      <c r="A21" s="200" t="str">
        <f t="shared" si="0"/>
        <v/>
      </c>
      <c r="B21" s="200"/>
      <c r="C21" s="200"/>
      <c r="D21" s="200"/>
      <c r="E21" s="200"/>
      <c r="F21" s="202" t="str">
        <f>IF(A21="","",X21&amp;" "&amp;裝櫃表格!$W$34&amp;AJ21)</f>
        <v/>
      </c>
      <c r="G21" s="202"/>
      <c r="H21" s="202"/>
      <c r="I21" s="202"/>
      <c r="J21" s="202"/>
      <c r="K21" s="202"/>
      <c r="L21" s="200"/>
      <c r="M21" s="203" t="str">
        <f t="shared" si="1"/>
        <v/>
      </c>
      <c r="N21" s="203"/>
      <c r="O21" s="203"/>
      <c r="P21" s="203"/>
      <c r="Q21" s="203"/>
      <c r="R21" s="200"/>
      <c r="S21" s="200"/>
      <c r="T21" s="98"/>
      <c r="U21" s="191"/>
      <c r="V21" s="191"/>
      <c r="W21" s="191"/>
      <c r="X21" s="192"/>
      <c r="Z21" s="193"/>
      <c r="AA21" s="193"/>
      <c r="AB21" s="193"/>
      <c r="AC21" s="193"/>
      <c r="AD21" s="193"/>
      <c r="AE21" s="193"/>
      <c r="AF21" s="193"/>
      <c r="AG21" s="193"/>
      <c r="AH21" s="193"/>
      <c r="AI21" s="188"/>
      <c r="AJ21" s="188" t="str">
        <f t="shared" si="2"/>
        <v/>
      </c>
      <c r="BA21" s="162"/>
      <c r="BB21" s="162"/>
      <c r="BC21" s="162"/>
      <c r="BD21" s="162"/>
      <c r="BE21" s="162"/>
      <c r="BF21" s="162"/>
      <c r="BG21" s="161"/>
      <c r="BH21" s="161"/>
      <c r="BI21" s="96"/>
      <c r="BJ21" s="96"/>
      <c r="BK21" s="96"/>
      <c r="BL21" s="97"/>
      <c r="BM21" s="97"/>
      <c r="BN21" s="97"/>
      <c r="BO21" s="97"/>
      <c r="BP21" s="97"/>
      <c r="BQ21" s="97"/>
      <c r="BR21" s="97"/>
      <c r="BS21" s="97"/>
      <c r="BT21" s="97"/>
      <c r="BU21" s="97"/>
      <c r="BV21" s="97"/>
      <c r="BW21" s="97"/>
      <c r="BX21" s="97"/>
      <c r="BY21" s="97"/>
      <c r="BZ21" s="97"/>
    </row>
    <row r="22" spans="1:78" s="86" customFormat="1" ht="16" customHeight="1">
      <c r="A22" s="200" t="str">
        <f t="shared" si="0"/>
        <v/>
      </c>
      <c r="B22" s="200"/>
      <c r="C22" s="200"/>
      <c r="D22" s="200"/>
      <c r="E22" s="200"/>
      <c r="F22" s="202" t="str">
        <f>IF(A22="","",X22&amp;" "&amp;裝櫃表格!$W$34&amp;AJ22)</f>
        <v/>
      </c>
      <c r="G22" s="202"/>
      <c r="H22" s="202"/>
      <c r="I22" s="202"/>
      <c r="J22" s="202"/>
      <c r="K22" s="202"/>
      <c r="L22" s="200"/>
      <c r="M22" s="203" t="str">
        <f t="shared" si="1"/>
        <v/>
      </c>
      <c r="N22" s="203"/>
      <c r="O22" s="203"/>
      <c r="P22" s="203"/>
      <c r="Q22" s="203"/>
      <c r="R22" s="200"/>
      <c r="S22" s="200"/>
      <c r="T22" s="98"/>
      <c r="U22" s="191"/>
      <c r="V22" s="191"/>
      <c r="W22" s="191"/>
      <c r="X22" s="192"/>
      <c r="Z22" s="193"/>
      <c r="AA22" s="193"/>
      <c r="AB22" s="193"/>
      <c r="AC22" s="193"/>
      <c r="AD22" s="193"/>
      <c r="AE22" s="193"/>
      <c r="AF22" s="193"/>
      <c r="AG22" s="193"/>
      <c r="AH22" s="193"/>
      <c r="AI22" s="188"/>
      <c r="AJ22" s="188" t="str">
        <f t="shared" si="2"/>
        <v/>
      </c>
      <c r="BA22" s="162"/>
      <c r="BB22" s="162"/>
      <c r="BC22" s="162"/>
      <c r="BD22" s="162"/>
      <c r="BE22" s="162"/>
      <c r="BF22" s="162"/>
      <c r="BG22" s="161"/>
      <c r="BH22" s="161"/>
      <c r="BI22" s="96"/>
      <c r="BJ22" s="96"/>
      <c r="BK22" s="96"/>
      <c r="BL22" s="97"/>
      <c r="BM22" s="97"/>
      <c r="BN22" s="97"/>
      <c r="BO22" s="97"/>
      <c r="BP22" s="97"/>
      <c r="BQ22" s="97"/>
      <c r="BR22" s="97"/>
      <c r="BS22" s="97"/>
      <c r="BT22" s="97"/>
      <c r="BU22" s="97"/>
      <c r="BV22" s="97"/>
      <c r="BW22" s="97"/>
      <c r="BX22" s="97"/>
      <c r="BY22" s="97"/>
      <c r="BZ22" s="97"/>
    </row>
    <row r="23" spans="1:78" s="86" customFormat="1" ht="16" customHeight="1">
      <c r="A23" s="200" t="str">
        <f t="shared" si="0"/>
        <v/>
      </c>
      <c r="B23" s="200"/>
      <c r="C23" s="200"/>
      <c r="D23" s="200"/>
      <c r="E23" s="200"/>
      <c r="F23" s="202" t="str">
        <f>IF(A23="","",X23&amp;" "&amp;裝櫃表格!$W$34&amp;AJ23)</f>
        <v/>
      </c>
      <c r="G23" s="202"/>
      <c r="H23" s="202"/>
      <c r="I23" s="202"/>
      <c r="J23" s="202"/>
      <c r="K23" s="202"/>
      <c r="L23" s="200"/>
      <c r="M23" s="203" t="str">
        <f t="shared" si="1"/>
        <v/>
      </c>
      <c r="N23" s="203"/>
      <c r="O23" s="203"/>
      <c r="P23" s="203"/>
      <c r="Q23" s="203"/>
      <c r="R23" s="200"/>
      <c r="S23" s="200"/>
      <c r="T23" s="98"/>
      <c r="U23" s="191"/>
      <c r="V23" s="191"/>
      <c r="W23" s="191"/>
      <c r="X23" s="192"/>
      <c r="Z23" s="193"/>
      <c r="AA23" s="193"/>
      <c r="AB23" s="193"/>
      <c r="AC23" s="193"/>
      <c r="AD23" s="193"/>
      <c r="AE23" s="193"/>
      <c r="AF23" s="193"/>
      <c r="AG23" s="193"/>
      <c r="AH23" s="193"/>
      <c r="AI23" s="188"/>
      <c r="AJ23" s="188" t="str">
        <f t="shared" si="2"/>
        <v/>
      </c>
      <c r="BA23" s="162"/>
      <c r="BB23" s="162"/>
      <c r="BC23" s="162"/>
      <c r="BD23" s="162"/>
      <c r="BE23" s="162"/>
      <c r="BF23" s="162"/>
      <c r="BG23" s="161"/>
      <c r="BH23" s="161"/>
      <c r="BI23" s="96"/>
      <c r="BJ23" s="96"/>
      <c r="BK23" s="96"/>
      <c r="BL23" s="97"/>
      <c r="BM23" s="97"/>
      <c r="BN23" s="97"/>
      <c r="BO23" s="97"/>
      <c r="BP23" s="97"/>
      <c r="BQ23" s="97"/>
      <c r="BR23" s="97"/>
      <c r="BS23" s="97"/>
      <c r="BT23" s="97"/>
      <c r="BU23" s="97"/>
      <c r="BV23" s="97"/>
      <c r="BW23" s="97"/>
      <c r="BX23" s="97"/>
      <c r="BY23" s="97"/>
      <c r="BZ23" s="97"/>
    </row>
    <row r="24" spans="1:78" s="86" customFormat="1" ht="16" customHeight="1">
      <c r="A24" s="200" t="str">
        <f t="shared" si="0"/>
        <v/>
      </c>
      <c r="B24" s="200"/>
      <c r="C24" s="200"/>
      <c r="D24" s="200"/>
      <c r="E24" s="200"/>
      <c r="F24" s="202" t="str">
        <f>IF(A24="","",X24&amp;" "&amp;裝櫃表格!$W$34&amp;AJ24)</f>
        <v/>
      </c>
      <c r="G24" s="202"/>
      <c r="H24" s="202"/>
      <c r="I24" s="202"/>
      <c r="J24" s="202"/>
      <c r="K24" s="202"/>
      <c r="L24" s="200"/>
      <c r="M24" s="203" t="str">
        <f t="shared" si="1"/>
        <v/>
      </c>
      <c r="N24" s="203"/>
      <c r="O24" s="203"/>
      <c r="P24" s="203"/>
      <c r="Q24" s="203"/>
      <c r="R24" s="200"/>
      <c r="S24" s="200"/>
      <c r="T24" s="98"/>
      <c r="U24" s="191"/>
      <c r="V24" s="191"/>
      <c r="W24" s="191"/>
      <c r="X24" s="192"/>
      <c r="Z24" s="193"/>
      <c r="AA24" s="193"/>
      <c r="AB24" s="193"/>
      <c r="AC24" s="193"/>
      <c r="AD24" s="193"/>
      <c r="AE24" s="193"/>
      <c r="AF24" s="193"/>
      <c r="AG24" s="193"/>
      <c r="AH24" s="193"/>
      <c r="AI24" s="188"/>
      <c r="AJ24" s="188" t="str">
        <f t="shared" si="2"/>
        <v/>
      </c>
      <c r="BA24" s="99"/>
      <c r="BB24" s="99"/>
      <c r="BC24" s="99"/>
      <c r="BD24" s="99"/>
      <c r="BE24" s="99"/>
      <c r="BF24" s="99"/>
      <c r="BG24" s="92"/>
      <c r="BH24" s="92"/>
      <c r="BI24" s="96"/>
      <c r="BJ24" s="96"/>
      <c r="BK24" s="96"/>
      <c r="BL24" s="97"/>
      <c r="BM24" s="97"/>
      <c r="BN24" s="97"/>
      <c r="BO24" s="97"/>
      <c r="BP24" s="97"/>
      <c r="BQ24" s="97"/>
      <c r="BR24" s="97"/>
      <c r="BS24" s="97"/>
      <c r="BT24" s="97"/>
      <c r="BU24" s="97"/>
      <c r="BV24" s="97"/>
      <c r="BW24" s="97"/>
      <c r="BX24" s="97"/>
      <c r="BY24" s="97"/>
      <c r="BZ24" s="97"/>
    </row>
    <row r="25" spans="1:78" s="86" customFormat="1" ht="16" customHeight="1">
      <c r="A25" s="200" t="str">
        <f t="shared" si="0"/>
        <v/>
      </c>
      <c r="B25" s="200"/>
      <c r="C25" s="200"/>
      <c r="D25" s="200"/>
      <c r="E25" s="200"/>
      <c r="F25" s="202" t="str">
        <f>IF(A25="","",X25&amp;" "&amp;裝櫃表格!$W$34&amp;AJ25)</f>
        <v/>
      </c>
      <c r="G25" s="202"/>
      <c r="H25" s="202"/>
      <c r="I25" s="202"/>
      <c r="J25" s="202"/>
      <c r="K25" s="202"/>
      <c r="L25" s="200"/>
      <c r="M25" s="203" t="str">
        <f t="shared" si="1"/>
        <v/>
      </c>
      <c r="N25" s="203"/>
      <c r="O25" s="203"/>
      <c r="P25" s="203"/>
      <c r="Q25" s="203"/>
      <c r="R25" s="200"/>
      <c r="S25" s="200"/>
      <c r="T25" s="98"/>
      <c r="U25" s="191"/>
      <c r="V25" s="191"/>
      <c r="W25" s="191"/>
      <c r="X25" s="192"/>
      <c r="Z25" s="193"/>
      <c r="AA25" s="193"/>
      <c r="AB25" s="193"/>
      <c r="AC25" s="193"/>
      <c r="AD25" s="193"/>
      <c r="AE25" s="193"/>
      <c r="AF25" s="193"/>
      <c r="AG25" s="193"/>
      <c r="AH25" s="193"/>
      <c r="AI25" s="188"/>
      <c r="AJ25" s="188" t="str">
        <f t="shared" si="2"/>
        <v/>
      </c>
      <c r="BA25" s="99"/>
      <c r="BB25" s="99"/>
      <c r="BC25" s="99"/>
      <c r="BD25" s="99"/>
      <c r="BE25" s="99"/>
      <c r="BF25" s="99"/>
      <c r="BG25" s="92"/>
      <c r="BH25" s="92"/>
      <c r="BI25" s="96"/>
      <c r="BJ25" s="96"/>
      <c r="BK25" s="96"/>
      <c r="BL25" s="97"/>
      <c r="BM25" s="97"/>
      <c r="BN25" s="97"/>
      <c r="BO25" s="97"/>
      <c r="BP25" s="97"/>
      <c r="BQ25" s="97"/>
      <c r="BR25" s="97"/>
      <c r="BS25" s="97"/>
      <c r="BT25" s="97"/>
      <c r="BU25" s="97"/>
      <c r="BV25" s="97"/>
      <c r="BW25" s="97"/>
      <c r="BX25" s="97"/>
      <c r="BY25" s="97"/>
      <c r="BZ25" s="97"/>
    </row>
    <row r="26" spans="1:78" s="86" customFormat="1" ht="16" customHeight="1">
      <c r="A26" s="200" t="str">
        <f t="shared" si="0"/>
        <v/>
      </c>
      <c r="B26" s="200"/>
      <c r="C26" s="200"/>
      <c r="D26" s="200"/>
      <c r="E26" s="200"/>
      <c r="F26" s="202" t="str">
        <f>IF(A26="","",X26&amp;" "&amp;裝櫃表格!$W$34&amp;AJ26)</f>
        <v/>
      </c>
      <c r="G26" s="202"/>
      <c r="H26" s="202"/>
      <c r="I26" s="202"/>
      <c r="J26" s="202"/>
      <c r="K26" s="202"/>
      <c r="L26" s="200"/>
      <c r="M26" s="203" t="str">
        <f t="shared" si="1"/>
        <v/>
      </c>
      <c r="N26" s="203"/>
      <c r="O26" s="203"/>
      <c r="P26" s="203"/>
      <c r="Q26" s="203"/>
      <c r="R26" s="200"/>
      <c r="S26" s="200"/>
      <c r="T26" s="98"/>
      <c r="U26" s="191"/>
      <c r="V26" s="191"/>
      <c r="W26" s="191"/>
      <c r="X26" s="192"/>
      <c r="Z26" s="193"/>
      <c r="AA26" s="193"/>
      <c r="AB26" s="193"/>
      <c r="AC26" s="193"/>
      <c r="AD26" s="193"/>
      <c r="AE26" s="193"/>
      <c r="AF26" s="193"/>
      <c r="AG26" s="193"/>
      <c r="AH26" s="193"/>
      <c r="AI26" s="188"/>
      <c r="AJ26" s="188" t="str">
        <f t="shared" si="2"/>
        <v/>
      </c>
      <c r="BA26" s="99"/>
      <c r="BB26" s="99"/>
      <c r="BC26" s="99"/>
      <c r="BD26" s="99"/>
      <c r="BE26" s="99"/>
      <c r="BF26" s="99"/>
      <c r="BG26" s="92"/>
      <c r="BH26" s="92"/>
      <c r="BI26" s="96"/>
      <c r="BJ26" s="96"/>
      <c r="BK26" s="96"/>
      <c r="BL26" s="97"/>
      <c r="BM26" s="97"/>
      <c r="BN26" s="97"/>
      <c r="BO26" s="97"/>
      <c r="BP26" s="97"/>
      <c r="BQ26" s="97"/>
      <c r="BR26" s="97"/>
      <c r="BS26" s="97"/>
      <c r="BT26" s="97"/>
      <c r="BU26" s="97"/>
      <c r="BV26" s="97"/>
      <c r="BW26" s="97"/>
      <c r="BX26" s="97"/>
      <c r="BY26" s="97"/>
      <c r="BZ26" s="97"/>
    </row>
    <row r="27" spans="1:78" s="86" customFormat="1" ht="16" customHeight="1">
      <c r="A27" s="200" t="str">
        <f t="shared" si="0"/>
        <v/>
      </c>
      <c r="B27" s="200"/>
      <c r="C27" s="200"/>
      <c r="D27" s="200"/>
      <c r="E27" s="200"/>
      <c r="F27" s="202" t="str">
        <f>IF(A27="","",X27&amp;" "&amp;裝櫃表格!$W$34&amp;AJ27)</f>
        <v/>
      </c>
      <c r="G27" s="202"/>
      <c r="H27" s="202"/>
      <c r="I27" s="202"/>
      <c r="J27" s="202"/>
      <c r="K27" s="202"/>
      <c r="L27" s="200"/>
      <c r="M27" s="203" t="str">
        <f t="shared" si="1"/>
        <v/>
      </c>
      <c r="N27" s="203"/>
      <c r="O27" s="203"/>
      <c r="P27" s="203"/>
      <c r="Q27" s="203"/>
      <c r="R27" s="200"/>
      <c r="S27" s="200"/>
      <c r="T27" s="98"/>
      <c r="U27" s="191"/>
      <c r="V27" s="191"/>
      <c r="W27" s="191"/>
      <c r="X27" s="192"/>
      <c r="Z27" s="193"/>
      <c r="AA27" s="193"/>
      <c r="AB27" s="193"/>
      <c r="AC27" s="193"/>
      <c r="AD27" s="193"/>
      <c r="AE27" s="193"/>
      <c r="AF27" s="193"/>
      <c r="AG27" s="193"/>
      <c r="AH27" s="193"/>
      <c r="AI27" s="188"/>
      <c r="AJ27" s="188" t="str">
        <f t="shared" si="2"/>
        <v/>
      </c>
      <c r="BA27" s="99"/>
      <c r="BB27" s="147"/>
      <c r="BC27" s="99"/>
      <c r="BD27" s="99"/>
      <c r="BE27" s="99"/>
      <c r="BF27" s="99"/>
      <c r="BG27" s="92"/>
      <c r="BH27" s="92"/>
      <c r="BI27" s="96"/>
      <c r="BJ27" s="96"/>
      <c r="BK27" s="96"/>
      <c r="BL27" s="97"/>
      <c r="BM27" s="97"/>
      <c r="BN27" s="97"/>
      <c r="BO27" s="97"/>
      <c r="BP27" s="97"/>
      <c r="BQ27" s="97"/>
      <c r="BR27" s="97"/>
      <c r="BS27" s="97"/>
      <c r="BT27" s="97"/>
      <c r="BU27" s="97"/>
      <c r="BV27" s="97"/>
      <c r="BW27" s="97"/>
      <c r="BX27" s="97"/>
      <c r="BY27" s="97"/>
      <c r="BZ27" s="97"/>
    </row>
    <row r="28" spans="1:78" s="86" customFormat="1" ht="16" customHeight="1">
      <c r="A28" s="200" t="str">
        <f t="shared" si="0"/>
        <v/>
      </c>
      <c r="B28" s="200"/>
      <c r="C28" s="200"/>
      <c r="D28" s="200"/>
      <c r="E28" s="200"/>
      <c r="F28" s="202" t="str">
        <f>IF(A28="","",X28&amp;" "&amp;裝櫃表格!$W$34&amp;AJ28)</f>
        <v/>
      </c>
      <c r="G28" s="202"/>
      <c r="H28" s="202"/>
      <c r="I28" s="202"/>
      <c r="J28" s="202"/>
      <c r="K28" s="202"/>
      <c r="L28" s="200"/>
      <c r="M28" s="203" t="str">
        <f t="shared" si="1"/>
        <v/>
      </c>
      <c r="N28" s="203"/>
      <c r="O28" s="203"/>
      <c r="P28" s="203"/>
      <c r="Q28" s="203"/>
      <c r="R28" s="200"/>
      <c r="S28" s="200"/>
      <c r="T28" s="98"/>
      <c r="U28" s="191"/>
      <c r="V28" s="191"/>
      <c r="W28" s="191"/>
      <c r="X28" s="192"/>
      <c r="Z28" s="193"/>
      <c r="AA28" s="193"/>
      <c r="AB28" s="193"/>
      <c r="AC28" s="193"/>
      <c r="AD28" s="193"/>
      <c r="AE28" s="193"/>
      <c r="AF28" s="193"/>
      <c r="AG28" s="193"/>
      <c r="AH28" s="193"/>
      <c r="AI28" s="188"/>
      <c r="AJ28" s="188" t="str">
        <f t="shared" si="2"/>
        <v/>
      </c>
      <c r="BA28" s="99"/>
      <c r="BB28" s="99"/>
      <c r="BC28" s="99"/>
      <c r="BD28" s="99"/>
      <c r="BE28" s="99"/>
      <c r="BF28" s="99"/>
      <c r="BG28" s="92"/>
      <c r="BH28" s="92"/>
      <c r="BI28" s="96"/>
      <c r="BJ28" s="96"/>
      <c r="BK28" s="96"/>
      <c r="BL28" s="97"/>
      <c r="BM28" s="97"/>
      <c r="BN28" s="97"/>
      <c r="BO28" s="97"/>
      <c r="BP28" s="97"/>
      <c r="BQ28" s="97"/>
      <c r="BR28" s="97"/>
      <c r="BS28" s="97"/>
      <c r="BT28" s="97"/>
      <c r="BU28" s="97"/>
      <c r="BV28" s="97"/>
      <c r="BW28" s="97"/>
      <c r="BX28" s="97"/>
      <c r="BY28" s="97"/>
      <c r="BZ28" s="97"/>
    </row>
    <row r="29" spans="1:78" s="86" customFormat="1" ht="16" customHeight="1">
      <c r="A29" s="200" t="str">
        <f t="shared" si="0"/>
        <v/>
      </c>
      <c r="B29" s="200"/>
      <c r="C29" s="200"/>
      <c r="D29" s="200"/>
      <c r="E29" s="200"/>
      <c r="F29" s="202" t="str">
        <f>IF(A29="","",X29&amp;" "&amp;裝櫃表格!$W$34&amp;AJ29)</f>
        <v/>
      </c>
      <c r="G29" s="202"/>
      <c r="H29" s="202"/>
      <c r="I29" s="202"/>
      <c r="J29" s="202"/>
      <c r="K29" s="202"/>
      <c r="L29" s="200"/>
      <c r="M29" s="203" t="str">
        <f t="shared" si="1"/>
        <v/>
      </c>
      <c r="N29" s="203"/>
      <c r="O29" s="203"/>
      <c r="P29" s="203"/>
      <c r="Q29" s="203"/>
      <c r="R29" s="200"/>
      <c r="S29" s="200"/>
      <c r="T29" s="98"/>
      <c r="U29" s="191"/>
      <c r="V29" s="191"/>
      <c r="W29" s="191"/>
      <c r="X29" s="192"/>
      <c r="Z29" s="193"/>
      <c r="AA29" s="193"/>
      <c r="AB29" s="193"/>
      <c r="AC29" s="193"/>
      <c r="AD29" s="193"/>
      <c r="AE29" s="193"/>
      <c r="AF29" s="193"/>
      <c r="AG29" s="193"/>
      <c r="AH29" s="193"/>
      <c r="AI29" s="188"/>
      <c r="AJ29" s="188" t="str">
        <f t="shared" si="2"/>
        <v/>
      </c>
      <c r="BA29" s="99"/>
      <c r="BD29" s="99"/>
      <c r="BE29" s="99"/>
      <c r="BF29" s="99"/>
      <c r="BG29" s="92"/>
      <c r="BH29" s="92"/>
      <c r="BI29" s="96"/>
      <c r="BJ29" s="96"/>
      <c r="BK29" s="96"/>
      <c r="BL29" s="97"/>
      <c r="BM29" s="97"/>
      <c r="BN29" s="97"/>
      <c r="BO29" s="97"/>
      <c r="BP29" s="97"/>
      <c r="BQ29" s="97"/>
      <c r="BR29" s="97"/>
      <c r="BS29" s="97"/>
      <c r="BT29" s="97"/>
      <c r="BU29" s="97"/>
      <c r="BV29" s="97"/>
      <c r="BW29" s="97"/>
      <c r="BX29" s="97"/>
      <c r="BY29" s="97"/>
      <c r="BZ29" s="97"/>
    </row>
    <row r="30" spans="1:78" s="86" customFormat="1" ht="16" customHeight="1">
      <c r="A30" s="200" t="str">
        <f t="shared" si="0"/>
        <v/>
      </c>
      <c r="B30" s="200"/>
      <c r="C30" s="200"/>
      <c r="D30" s="200"/>
      <c r="E30" s="200"/>
      <c r="F30" s="202" t="str">
        <f>IF(A30="","",X30&amp;" "&amp;裝櫃表格!$W$34&amp;AJ30)</f>
        <v/>
      </c>
      <c r="G30" s="202"/>
      <c r="H30" s="202"/>
      <c r="I30" s="202"/>
      <c r="J30" s="202"/>
      <c r="K30" s="202"/>
      <c r="L30" s="200"/>
      <c r="M30" s="203" t="str">
        <f t="shared" si="1"/>
        <v/>
      </c>
      <c r="N30" s="203"/>
      <c r="O30" s="203"/>
      <c r="P30" s="203"/>
      <c r="Q30" s="203"/>
      <c r="R30" s="200"/>
      <c r="S30" s="200"/>
      <c r="T30" s="98"/>
      <c r="U30" s="191"/>
      <c r="V30" s="191"/>
      <c r="W30" s="191"/>
      <c r="X30" s="192"/>
      <c r="Z30" s="193"/>
      <c r="AA30" s="193"/>
      <c r="AB30" s="193"/>
      <c r="AC30" s="193"/>
      <c r="AD30" s="193"/>
      <c r="AE30" s="193"/>
      <c r="AF30" s="193"/>
      <c r="AG30" s="193"/>
      <c r="AH30" s="193"/>
      <c r="AI30" s="188"/>
      <c r="AJ30" s="188" t="str">
        <f t="shared" si="2"/>
        <v/>
      </c>
      <c r="BA30" s="83"/>
      <c r="BD30" s="83"/>
      <c r="BE30" s="83"/>
      <c r="BF30" s="83"/>
      <c r="BG30" s="83"/>
      <c r="BH30" s="83"/>
      <c r="BI30" s="83"/>
      <c r="BJ30" s="83"/>
      <c r="BK30" s="83"/>
      <c r="BL30" s="92"/>
      <c r="BM30" s="92"/>
      <c r="BN30" s="92"/>
      <c r="BO30" s="92"/>
      <c r="BP30" s="92"/>
      <c r="BQ30" s="92"/>
      <c r="BR30" s="92"/>
      <c r="BS30" s="92"/>
      <c r="BT30" s="92"/>
      <c r="BU30" s="92"/>
      <c r="BV30" s="92"/>
      <c r="BW30" s="92"/>
      <c r="BX30" s="92"/>
      <c r="BY30" s="92"/>
      <c r="BZ30" s="92"/>
    </row>
    <row r="31" spans="1:78" s="86" customFormat="1" ht="16" customHeight="1">
      <c r="A31" s="200" t="str">
        <f t="shared" si="0"/>
        <v/>
      </c>
      <c r="B31" s="200"/>
      <c r="C31" s="200"/>
      <c r="D31" s="200"/>
      <c r="E31" s="200"/>
      <c r="F31" s="202" t="str">
        <f>IF(A31="","",X31&amp;" "&amp;裝櫃表格!$W$34&amp;AJ31)</f>
        <v/>
      </c>
      <c r="G31" s="202"/>
      <c r="H31" s="202"/>
      <c r="I31" s="202"/>
      <c r="J31" s="202"/>
      <c r="K31" s="202"/>
      <c r="L31" s="200"/>
      <c r="M31" s="203" t="str">
        <f t="shared" si="1"/>
        <v/>
      </c>
      <c r="N31" s="203"/>
      <c r="O31" s="203"/>
      <c r="P31" s="203"/>
      <c r="Q31" s="203"/>
      <c r="R31" s="200"/>
      <c r="S31" s="200"/>
      <c r="T31" s="98"/>
      <c r="U31" s="191"/>
      <c r="V31" s="191"/>
      <c r="W31" s="191"/>
      <c r="X31" s="192"/>
      <c r="Z31" s="193"/>
      <c r="AA31" s="193"/>
      <c r="AB31" s="193"/>
      <c r="AC31" s="193"/>
      <c r="AD31" s="193"/>
      <c r="AE31" s="193"/>
      <c r="AF31" s="193"/>
      <c r="AG31" s="193"/>
      <c r="AH31" s="193"/>
      <c r="AI31" s="188"/>
      <c r="AJ31" s="188" t="str">
        <f t="shared" si="2"/>
        <v/>
      </c>
      <c r="BA31" s="83"/>
      <c r="BD31" s="83"/>
      <c r="BE31" s="83"/>
      <c r="BF31" s="83"/>
      <c r="BG31" s="83"/>
      <c r="BH31" s="83"/>
      <c r="BI31" s="83"/>
      <c r="BJ31" s="83"/>
      <c r="BK31" s="83"/>
      <c r="BL31" s="161"/>
      <c r="BM31" s="161"/>
      <c r="BN31" s="161"/>
      <c r="BO31" s="161"/>
      <c r="BP31" s="161"/>
      <c r="BQ31" s="161"/>
      <c r="BR31" s="161"/>
      <c r="BS31" s="161"/>
      <c r="BT31" s="161"/>
      <c r="BU31" s="161"/>
      <c r="BV31" s="161"/>
      <c r="BW31" s="161"/>
      <c r="BX31" s="161"/>
      <c r="BY31" s="161"/>
      <c r="BZ31" s="161"/>
    </row>
    <row r="32" spans="1:78" s="86" customFormat="1" ht="16" customHeight="1">
      <c r="A32" s="200" t="str">
        <f t="shared" si="0"/>
        <v/>
      </c>
      <c r="B32" s="200"/>
      <c r="C32" s="200"/>
      <c r="D32" s="200"/>
      <c r="E32" s="200"/>
      <c r="F32" s="202" t="str">
        <f>IF(A32="","",X32&amp;" "&amp;裝櫃表格!$W$34&amp;AJ32)</f>
        <v/>
      </c>
      <c r="G32" s="202"/>
      <c r="H32" s="202"/>
      <c r="I32" s="202"/>
      <c r="J32" s="202"/>
      <c r="K32" s="202"/>
      <c r="L32" s="200"/>
      <c r="M32" s="203" t="str">
        <f t="shared" si="1"/>
        <v/>
      </c>
      <c r="N32" s="203"/>
      <c r="O32" s="203"/>
      <c r="P32" s="203"/>
      <c r="Q32" s="203"/>
      <c r="R32" s="200"/>
      <c r="S32" s="200"/>
      <c r="T32" s="98"/>
      <c r="U32" s="191"/>
      <c r="V32" s="191"/>
      <c r="W32" s="191"/>
      <c r="X32" s="192"/>
      <c r="Z32" s="193"/>
      <c r="AA32" s="193"/>
      <c r="AB32" s="193"/>
      <c r="AC32" s="193"/>
      <c r="AD32" s="193"/>
      <c r="AE32" s="193"/>
      <c r="AF32" s="193"/>
      <c r="AG32" s="193"/>
      <c r="AH32" s="193"/>
      <c r="AI32" s="188"/>
      <c r="AJ32" s="188" t="str">
        <f t="shared" si="2"/>
        <v/>
      </c>
      <c r="BA32" s="83"/>
      <c r="BD32" s="83"/>
      <c r="BE32" s="83"/>
      <c r="BF32" s="83"/>
      <c r="BG32" s="83"/>
      <c r="BH32" s="83"/>
      <c r="BI32" s="83"/>
      <c r="BJ32" s="83"/>
      <c r="BK32" s="83"/>
      <c r="BL32" s="161"/>
      <c r="BM32" s="161"/>
      <c r="BN32" s="161"/>
      <c r="BO32" s="161"/>
      <c r="BP32" s="161"/>
      <c r="BQ32" s="161"/>
      <c r="BR32" s="161"/>
      <c r="BS32" s="161"/>
      <c r="BT32" s="161"/>
      <c r="BU32" s="161"/>
      <c r="BV32" s="161"/>
      <c r="BW32" s="161"/>
      <c r="BX32" s="161"/>
      <c r="BY32" s="161"/>
      <c r="BZ32" s="161"/>
    </row>
    <row r="33" spans="1:78" s="86" customFormat="1" ht="16" customHeight="1">
      <c r="A33" s="200" t="str">
        <f t="shared" si="0"/>
        <v/>
      </c>
      <c r="B33" s="200"/>
      <c r="C33" s="200"/>
      <c r="D33" s="200"/>
      <c r="E33" s="200"/>
      <c r="F33" s="202" t="str">
        <f>IF(A33="","",X33&amp;" "&amp;裝櫃表格!$W$34&amp;AJ33)</f>
        <v/>
      </c>
      <c r="G33" s="202"/>
      <c r="H33" s="202"/>
      <c r="I33" s="202"/>
      <c r="J33" s="202"/>
      <c r="K33" s="202"/>
      <c r="L33" s="200"/>
      <c r="M33" s="203" t="str">
        <f t="shared" si="1"/>
        <v/>
      </c>
      <c r="N33" s="203"/>
      <c r="O33" s="203"/>
      <c r="P33" s="203"/>
      <c r="Q33" s="203"/>
      <c r="R33" s="200"/>
      <c r="S33" s="200"/>
      <c r="T33" s="98"/>
      <c r="U33" s="191"/>
      <c r="V33" s="191"/>
      <c r="W33" s="191"/>
      <c r="X33" s="192"/>
      <c r="Z33" s="193"/>
      <c r="AA33" s="193"/>
      <c r="AB33" s="193"/>
      <c r="AC33" s="193"/>
      <c r="AD33" s="193"/>
      <c r="AE33" s="193"/>
      <c r="AF33" s="193"/>
      <c r="AG33" s="193"/>
      <c r="AH33" s="193"/>
      <c r="AI33" s="188"/>
      <c r="AJ33" s="188" t="str">
        <f t="shared" si="2"/>
        <v/>
      </c>
      <c r="BA33" s="83"/>
      <c r="BD33" s="83"/>
      <c r="BE33" s="83"/>
      <c r="BF33" s="83"/>
      <c r="BG33" s="83"/>
      <c r="BH33" s="83"/>
      <c r="BI33" s="83"/>
      <c r="BJ33" s="83"/>
      <c r="BK33" s="83"/>
      <c r="BL33" s="161"/>
      <c r="BM33" s="161"/>
      <c r="BN33" s="161"/>
      <c r="BO33" s="161"/>
      <c r="BP33" s="161"/>
      <c r="BQ33" s="161"/>
      <c r="BR33" s="161"/>
      <c r="BS33" s="161"/>
      <c r="BT33" s="161"/>
      <c r="BU33" s="161"/>
      <c r="BV33" s="161"/>
      <c r="BW33" s="161"/>
      <c r="BX33" s="161"/>
      <c r="BY33" s="161"/>
      <c r="BZ33" s="161"/>
    </row>
    <row r="34" spans="1:78" s="86" customFormat="1" ht="16" customHeight="1">
      <c r="A34" s="200" t="str">
        <f t="shared" si="0"/>
        <v/>
      </c>
      <c r="B34" s="200"/>
      <c r="C34" s="200"/>
      <c r="D34" s="200"/>
      <c r="E34" s="200"/>
      <c r="F34" s="202" t="str">
        <f>IF(A34="","",X34&amp;" "&amp;裝櫃表格!$W$34&amp;AJ34)</f>
        <v/>
      </c>
      <c r="G34" s="202"/>
      <c r="H34" s="202"/>
      <c r="I34" s="202"/>
      <c r="J34" s="202"/>
      <c r="K34" s="202"/>
      <c r="L34" s="200"/>
      <c r="M34" s="203" t="str">
        <f t="shared" si="1"/>
        <v/>
      </c>
      <c r="N34" s="203"/>
      <c r="O34" s="203"/>
      <c r="P34" s="203"/>
      <c r="Q34" s="203"/>
      <c r="R34" s="200"/>
      <c r="S34" s="200"/>
      <c r="T34" s="98"/>
      <c r="U34" s="191"/>
      <c r="V34" s="191"/>
      <c r="W34" s="191"/>
      <c r="X34" s="192"/>
      <c r="Z34" s="193"/>
      <c r="AA34" s="193"/>
      <c r="AB34" s="193"/>
      <c r="AC34" s="193"/>
      <c r="AD34" s="193"/>
      <c r="AE34" s="193"/>
      <c r="AF34" s="193"/>
      <c r="AG34" s="193"/>
      <c r="AH34" s="193"/>
      <c r="AI34" s="188"/>
      <c r="AJ34" s="188" t="str">
        <f t="shared" si="2"/>
        <v/>
      </c>
      <c r="BA34" s="83"/>
      <c r="BD34" s="83"/>
      <c r="BE34" s="83"/>
      <c r="BF34" s="83"/>
      <c r="BG34" s="83"/>
      <c r="BH34" s="83"/>
      <c r="BI34" s="83"/>
      <c r="BJ34" s="83"/>
      <c r="BK34" s="83"/>
      <c r="BL34" s="161"/>
      <c r="BM34" s="161"/>
      <c r="BN34" s="161"/>
      <c r="BO34" s="161"/>
      <c r="BP34" s="161"/>
      <c r="BQ34" s="161"/>
      <c r="BR34" s="161"/>
      <c r="BS34" s="161"/>
      <c r="BT34" s="161"/>
      <c r="BU34" s="161"/>
      <c r="BV34" s="161"/>
      <c r="BW34" s="161"/>
      <c r="BX34" s="161"/>
      <c r="BY34" s="161"/>
      <c r="BZ34" s="161"/>
    </row>
    <row r="35" spans="1:78" s="86" customFormat="1" ht="16" customHeight="1">
      <c r="A35" s="200" t="str">
        <f t="shared" si="0"/>
        <v/>
      </c>
      <c r="B35" s="200"/>
      <c r="C35" s="200"/>
      <c r="D35" s="200"/>
      <c r="E35" s="200"/>
      <c r="F35" s="202" t="str">
        <f>IF(A35="","",X35&amp;" "&amp;裝櫃表格!$W$34&amp;AJ35)</f>
        <v/>
      </c>
      <c r="G35" s="202"/>
      <c r="H35" s="202"/>
      <c r="I35" s="202"/>
      <c r="J35" s="202"/>
      <c r="K35" s="202"/>
      <c r="L35" s="200"/>
      <c r="M35" s="203" t="str">
        <f t="shared" si="1"/>
        <v/>
      </c>
      <c r="N35" s="203"/>
      <c r="O35" s="203"/>
      <c r="P35" s="203"/>
      <c r="Q35" s="203"/>
      <c r="R35" s="200"/>
      <c r="S35" s="200"/>
      <c r="T35" s="98"/>
      <c r="U35" s="191"/>
      <c r="V35" s="191"/>
      <c r="W35" s="191"/>
      <c r="X35" s="192"/>
      <c r="Z35" s="193"/>
      <c r="AA35" s="193"/>
      <c r="AB35" s="193"/>
      <c r="AC35" s="193"/>
      <c r="AD35" s="193"/>
      <c r="AE35" s="193"/>
      <c r="AF35" s="193"/>
      <c r="AG35" s="193"/>
      <c r="AH35" s="193"/>
      <c r="AI35" s="188"/>
      <c r="AJ35" s="188" t="str">
        <f t="shared" si="2"/>
        <v/>
      </c>
      <c r="BA35" s="83"/>
      <c r="BD35" s="83"/>
      <c r="BE35" s="83"/>
      <c r="BF35" s="83"/>
      <c r="BG35" s="83"/>
      <c r="BH35" s="83"/>
      <c r="BI35" s="83"/>
      <c r="BJ35" s="83"/>
      <c r="BK35" s="83"/>
      <c r="BL35" s="161"/>
      <c r="BM35" s="161"/>
      <c r="BN35" s="161"/>
      <c r="BO35" s="161"/>
      <c r="BP35" s="161"/>
      <c r="BQ35" s="161"/>
      <c r="BR35" s="161"/>
      <c r="BS35" s="161"/>
      <c r="BT35" s="161"/>
      <c r="BU35" s="161"/>
      <c r="BV35" s="161"/>
      <c r="BW35" s="161"/>
      <c r="BX35" s="161"/>
      <c r="BY35" s="161"/>
      <c r="BZ35" s="161"/>
    </row>
    <row r="36" spans="1:78" s="86" customFormat="1" ht="16" customHeight="1">
      <c r="A36" s="200" t="str">
        <f t="shared" si="0"/>
        <v/>
      </c>
      <c r="B36" s="200"/>
      <c r="C36" s="200"/>
      <c r="D36" s="200"/>
      <c r="E36" s="200"/>
      <c r="F36" s="202" t="str">
        <f>IF(A36="","",X36&amp;" "&amp;裝櫃表格!$W$34&amp;AJ36)</f>
        <v/>
      </c>
      <c r="G36" s="202"/>
      <c r="H36" s="202"/>
      <c r="I36" s="202"/>
      <c r="J36" s="202"/>
      <c r="K36" s="202"/>
      <c r="L36" s="200"/>
      <c r="M36" s="203" t="str">
        <f t="shared" si="1"/>
        <v/>
      </c>
      <c r="N36" s="203"/>
      <c r="O36" s="203"/>
      <c r="P36" s="203"/>
      <c r="Q36" s="203"/>
      <c r="R36" s="200"/>
      <c r="S36" s="200"/>
      <c r="T36" s="98"/>
      <c r="U36" s="191"/>
      <c r="V36" s="191"/>
      <c r="W36" s="191"/>
      <c r="X36" s="192"/>
      <c r="Z36" s="193"/>
      <c r="AA36" s="193"/>
      <c r="AB36" s="193"/>
      <c r="AC36" s="193"/>
      <c r="AD36" s="193"/>
      <c r="AE36" s="193"/>
      <c r="AF36" s="193"/>
      <c r="AG36" s="193"/>
      <c r="AH36" s="193"/>
      <c r="AI36" s="188"/>
      <c r="AJ36" s="188" t="str">
        <f t="shared" si="2"/>
        <v/>
      </c>
      <c r="BA36" s="83"/>
      <c r="BD36" s="83"/>
      <c r="BE36" s="83"/>
      <c r="BF36" s="83"/>
      <c r="BG36" s="83"/>
      <c r="BH36" s="83"/>
      <c r="BI36" s="83"/>
      <c r="BJ36" s="83"/>
      <c r="BK36" s="83"/>
      <c r="BL36" s="161"/>
      <c r="BM36" s="161"/>
      <c r="BN36" s="161"/>
      <c r="BO36" s="161"/>
      <c r="BP36" s="161"/>
      <c r="BQ36" s="161"/>
      <c r="BR36" s="161"/>
      <c r="BS36" s="161"/>
      <c r="BT36" s="161"/>
      <c r="BU36" s="161"/>
      <c r="BV36" s="161"/>
      <c r="BW36" s="161"/>
      <c r="BX36" s="161"/>
      <c r="BY36" s="161"/>
      <c r="BZ36" s="161"/>
    </row>
    <row r="37" spans="1:78" s="86" customFormat="1" ht="16" customHeight="1">
      <c r="A37" s="200" t="str">
        <f t="shared" si="0"/>
        <v/>
      </c>
      <c r="B37" s="200"/>
      <c r="C37" s="200"/>
      <c r="D37" s="200"/>
      <c r="E37" s="200"/>
      <c r="F37" s="202" t="str">
        <f>IF(A37="","",X37&amp;" "&amp;裝櫃表格!$W$34&amp;AJ37)</f>
        <v/>
      </c>
      <c r="G37" s="202"/>
      <c r="H37" s="202"/>
      <c r="I37" s="202"/>
      <c r="J37" s="202"/>
      <c r="K37" s="202"/>
      <c r="L37" s="200"/>
      <c r="M37" s="203" t="str">
        <f t="shared" si="1"/>
        <v/>
      </c>
      <c r="N37" s="203"/>
      <c r="O37" s="203"/>
      <c r="P37" s="203"/>
      <c r="Q37" s="203"/>
      <c r="R37" s="200"/>
      <c r="S37" s="200"/>
      <c r="T37" s="98"/>
      <c r="U37" s="191"/>
      <c r="V37" s="191"/>
      <c r="W37" s="191"/>
      <c r="X37" s="192"/>
      <c r="Z37" s="193"/>
      <c r="AA37" s="193"/>
      <c r="AB37" s="193"/>
      <c r="AC37" s="193"/>
      <c r="AD37" s="193"/>
      <c r="AE37" s="193"/>
      <c r="AF37" s="193"/>
      <c r="AG37" s="193"/>
      <c r="AH37" s="193"/>
      <c r="AI37" s="188"/>
      <c r="AJ37" s="188" t="str">
        <f t="shared" si="2"/>
        <v/>
      </c>
      <c r="BA37" s="83"/>
      <c r="BD37" s="83"/>
      <c r="BE37" s="83"/>
      <c r="BF37" s="83"/>
      <c r="BG37" s="83"/>
      <c r="BH37" s="83"/>
      <c r="BI37" s="83"/>
      <c r="BJ37" s="83"/>
      <c r="BK37" s="83"/>
      <c r="BL37" s="161"/>
      <c r="BM37" s="161"/>
      <c r="BN37" s="161"/>
      <c r="BO37" s="161"/>
      <c r="BP37" s="161"/>
      <c r="BQ37" s="161"/>
      <c r="BR37" s="161"/>
      <c r="BS37" s="161"/>
      <c r="BT37" s="161"/>
      <c r="BU37" s="161"/>
      <c r="BV37" s="161"/>
      <c r="BW37" s="161"/>
      <c r="BX37" s="161"/>
      <c r="BY37" s="161"/>
      <c r="BZ37" s="161"/>
    </row>
    <row r="38" spans="1:78" s="86" customFormat="1" ht="16" customHeight="1">
      <c r="A38" s="200" t="str">
        <f t="shared" si="0"/>
        <v/>
      </c>
      <c r="B38" s="200"/>
      <c r="C38" s="200"/>
      <c r="D38" s="200"/>
      <c r="E38" s="200"/>
      <c r="F38" s="202" t="str">
        <f>IF(A38="","",X38&amp;" "&amp;裝櫃表格!$W$34&amp;AJ38)</f>
        <v/>
      </c>
      <c r="G38" s="202"/>
      <c r="H38" s="202"/>
      <c r="I38" s="202"/>
      <c r="J38" s="202"/>
      <c r="K38" s="202"/>
      <c r="L38" s="200"/>
      <c r="M38" s="203" t="str">
        <f t="shared" si="1"/>
        <v/>
      </c>
      <c r="N38" s="203"/>
      <c r="O38" s="203"/>
      <c r="P38" s="203"/>
      <c r="Q38" s="203"/>
      <c r="R38" s="200"/>
      <c r="S38" s="200"/>
      <c r="T38" s="98"/>
      <c r="U38" s="191"/>
      <c r="V38" s="191"/>
      <c r="W38" s="191"/>
      <c r="X38" s="192"/>
      <c r="Z38" s="193"/>
      <c r="AA38" s="193"/>
      <c r="AB38" s="193"/>
      <c r="AC38" s="193"/>
      <c r="AD38" s="193"/>
      <c r="AE38" s="193"/>
      <c r="AF38" s="193"/>
      <c r="AG38" s="193"/>
      <c r="AH38" s="193"/>
      <c r="AI38" s="188"/>
      <c r="AJ38" s="188" t="str">
        <f t="shared" si="2"/>
        <v/>
      </c>
      <c r="BA38" s="83"/>
      <c r="BD38" s="83"/>
      <c r="BE38" s="83"/>
      <c r="BF38" s="83"/>
      <c r="BG38" s="83"/>
      <c r="BH38" s="83"/>
      <c r="BI38" s="83"/>
      <c r="BJ38" s="83"/>
      <c r="BK38" s="83"/>
      <c r="BL38" s="161"/>
      <c r="BM38" s="161"/>
      <c r="BN38" s="161"/>
      <c r="BO38" s="161"/>
      <c r="BP38" s="161"/>
      <c r="BQ38" s="161"/>
      <c r="BR38" s="161"/>
      <c r="BS38" s="161"/>
      <c r="BT38" s="161"/>
      <c r="BU38" s="161"/>
      <c r="BV38" s="161"/>
      <c r="BW38" s="161"/>
      <c r="BX38" s="161"/>
      <c r="BY38" s="161"/>
      <c r="BZ38" s="161"/>
    </row>
    <row r="39" spans="1:78" s="86" customFormat="1" ht="16" customHeight="1">
      <c r="A39" s="200" t="str">
        <f t="shared" si="0"/>
        <v/>
      </c>
      <c r="B39" s="200"/>
      <c r="C39" s="200"/>
      <c r="D39" s="200"/>
      <c r="E39" s="200"/>
      <c r="F39" s="202" t="str">
        <f>IF(A39="","",X39&amp;" "&amp;裝櫃表格!$W$34&amp;AJ39)</f>
        <v/>
      </c>
      <c r="G39" s="202"/>
      <c r="H39" s="202"/>
      <c r="I39" s="202"/>
      <c r="J39" s="202"/>
      <c r="K39" s="202"/>
      <c r="L39" s="200"/>
      <c r="M39" s="203" t="str">
        <f t="shared" si="1"/>
        <v/>
      </c>
      <c r="N39" s="203"/>
      <c r="O39" s="203"/>
      <c r="P39" s="203"/>
      <c r="Q39" s="203"/>
      <c r="R39" s="200"/>
      <c r="S39" s="200"/>
      <c r="T39" s="98"/>
      <c r="U39" s="191"/>
      <c r="V39" s="191"/>
      <c r="W39" s="191"/>
      <c r="X39" s="192"/>
      <c r="Z39" s="193"/>
      <c r="AA39" s="193"/>
      <c r="AB39" s="193"/>
      <c r="AC39" s="193"/>
      <c r="AD39" s="193"/>
      <c r="AE39" s="193"/>
      <c r="AF39" s="193"/>
      <c r="AG39" s="193"/>
      <c r="AH39" s="193"/>
      <c r="AI39" s="188"/>
      <c r="AJ39" s="188" t="str">
        <f t="shared" si="2"/>
        <v/>
      </c>
      <c r="BA39" s="83"/>
      <c r="BD39" s="83"/>
      <c r="BE39" s="83"/>
      <c r="BF39" s="83"/>
      <c r="BG39" s="83"/>
      <c r="BH39" s="83"/>
      <c r="BI39" s="83"/>
      <c r="BJ39" s="83"/>
      <c r="BK39" s="83"/>
      <c r="BL39" s="161"/>
      <c r="BM39" s="161"/>
      <c r="BN39" s="161"/>
      <c r="BO39" s="161"/>
      <c r="BP39" s="161"/>
      <c r="BQ39" s="161"/>
      <c r="BR39" s="161"/>
      <c r="BS39" s="161"/>
      <c r="BT39" s="161"/>
      <c r="BU39" s="161"/>
      <c r="BV39" s="161"/>
      <c r="BW39" s="161"/>
      <c r="BX39" s="161"/>
      <c r="BY39" s="161"/>
      <c r="BZ39" s="161"/>
    </row>
    <row r="40" spans="1:78" s="86" customFormat="1" ht="16" customHeight="1">
      <c r="A40" s="200" t="str">
        <f t="shared" si="0"/>
        <v/>
      </c>
      <c r="B40" s="200"/>
      <c r="C40" s="200"/>
      <c r="D40" s="200"/>
      <c r="E40" s="200"/>
      <c r="F40" s="202" t="str">
        <f>IF(A40="","",X40&amp;" "&amp;裝櫃表格!$W$34&amp;AJ40)</f>
        <v/>
      </c>
      <c r="G40" s="202"/>
      <c r="H40" s="202"/>
      <c r="I40" s="202"/>
      <c r="J40" s="202"/>
      <c r="K40" s="202"/>
      <c r="L40" s="200"/>
      <c r="M40" s="203" t="str">
        <f t="shared" si="1"/>
        <v/>
      </c>
      <c r="N40" s="203"/>
      <c r="O40" s="203"/>
      <c r="P40" s="203"/>
      <c r="Q40" s="203"/>
      <c r="R40" s="200"/>
      <c r="S40" s="200"/>
      <c r="T40" s="98"/>
      <c r="U40" s="191"/>
      <c r="V40" s="191"/>
      <c r="W40" s="191"/>
      <c r="X40" s="192"/>
      <c r="Z40" s="193"/>
      <c r="AA40" s="193"/>
      <c r="AB40" s="193"/>
      <c r="AC40" s="193"/>
      <c r="AD40" s="193"/>
      <c r="AE40" s="193"/>
      <c r="AF40" s="193"/>
      <c r="AG40" s="193"/>
      <c r="AH40" s="193"/>
      <c r="AI40" s="188"/>
      <c r="AJ40" s="188" t="str">
        <f t="shared" si="2"/>
        <v/>
      </c>
      <c r="BA40" s="83"/>
      <c r="BD40" s="83"/>
      <c r="BE40" s="83"/>
      <c r="BF40" s="83"/>
      <c r="BG40" s="83"/>
      <c r="BH40" s="83"/>
      <c r="BI40" s="83"/>
      <c r="BJ40" s="83"/>
      <c r="BK40" s="83"/>
      <c r="BL40" s="161"/>
      <c r="BM40" s="161"/>
      <c r="BN40" s="161"/>
      <c r="BO40" s="161"/>
      <c r="BP40" s="161"/>
      <c r="BQ40" s="161"/>
      <c r="BR40" s="161"/>
      <c r="BS40" s="161"/>
      <c r="BT40" s="161"/>
      <c r="BU40" s="161"/>
      <c r="BV40" s="161"/>
      <c r="BW40" s="161"/>
      <c r="BX40" s="161"/>
      <c r="BY40" s="161"/>
      <c r="BZ40" s="161"/>
    </row>
    <row r="41" spans="1:78" s="86" customFormat="1" ht="16" customHeight="1">
      <c r="A41" s="200" t="str">
        <f t="shared" si="0"/>
        <v/>
      </c>
      <c r="B41" s="200"/>
      <c r="C41" s="200"/>
      <c r="D41" s="200"/>
      <c r="E41" s="200"/>
      <c r="F41" s="202" t="str">
        <f>IF(A41="","",X41&amp;" "&amp;裝櫃表格!$W$34&amp;AJ41)</f>
        <v/>
      </c>
      <c r="G41" s="202"/>
      <c r="H41" s="202"/>
      <c r="I41" s="202"/>
      <c r="J41" s="202"/>
      <c r="K41" s="202"/>
      <c r="L41" s="200"/>
      <c r="M41" s="203" t="str">
        <f t="shared" si="1"/>
        <v/>
      </c>
      <c r="N41" s="203"/>
      <c r="O41" s="203"/>
      <c r="P41" s="203"/>
      <c r="Q41" s="203"/>
      <c r="R41" s="200"/>
      <c r="S41" s="200"/>
      <c r="T41" s="98"/>
      <c r="U41" s="191"/>
      <c r="V41" s="191"/>
      <c r="W41" s="191"/>
      <c r="X41" s="192"/>
      <c r="Z41" s="193"/>
      <c r="AA41" s="193"/>
      <c r="AB41" s="193"/>
      <c r="AC41" s="193"/>
      <c r="AD41" s="193"/>
      <c r="AE41" s="193"/>
      <c r="AF41" s="193"/>
      <c r="AG41" s="193"/>
      <c r="AH41" s="193"/>
      <c r="AI41" s="188"/>
      <c r="AJ41" s="188" t="str">
        <f t="shared" si="2"/>
        <v/>
      </c>
      <c r="BA41" s="83"/>
      <c r="BD41" s="83"/>
      <c r="BE41" s="83"/>
      <c r="BF41" s="83"/>
      <c r="BG41" s="83"/>
      <c r="BH41" s="83"/>
      <c r="BI41" s="83"/>
      <c r="BJ41" s="83"/>
      <c r="BK41" s="83"/>
      <c r="BL41" s="135"/>
      <c r="BM41" s="135"/>
      <c r="BN41" s="135"/>
      <c r="BO41" s="135"/>
      <c r="BP41" s="135"/>
      <c r="BQ41" s="135"/>
      <c r="BR41" s="135"/>
      <c r="BS41" s="135"/>
      <c r="BT41" s="135"/>
      <c r="BU41" s="135"/>
      <c r="BV41" s="135"/>
      <c r="BW41" s="135"/>
      <c r="BX41" s="135"/>
      <c r="BY41" s="135"/>
      <c r="BZ41" s="135"/>
    </row>
    <row r="42" spans="1:78" s="86" customFormat="1" ht="16" customHeight="1">
      <c r="A42" s="200" t="str">
        <f t="shared" si="0"/>
        <v/>
      </c>
      <c r="B42" s="200"/>
      <c r="C42" s="200"/>
      <c r="D42" s="200"/>
      <c r="E42" s="200"/>
      <c r="F42" s="202" t="str">
        <f>IF(A42="","",X42&amp;" "&amp;裝櫃表格!$W$34&amp;AJ42)</f>
        <v/>
      </c>
      <c r="G42" s="202"/>
      <c r="H42" s="202"/>
      <c r="I42" s="202"/>
      <c r="J42" s="202"/>
      <c r="K42" s="202"/>
      <c r="L42" s="200"/>
      <c r="M42" s="203" t="str">
        <f t="shared" si="1"/>
        <v/>
      </c>
      <c r="N42" s="203"/>
      <c r="O42" s="203"/>
      <c r="P42" s="203"/>
      <c r="Q42" s="203"/>
      <c r="R42" s="200"/>
      <c r="S42" s="200"/>
      <c r="T42" s="98"/>
      <c r="U42" s="191"/>
      <c r="V42" s="191"/>
      <c r="W42" s="191"/>
      <c r="X42" s="192"/>
      <c r="Z42" s="193"/>
      <c r="AA42" s="193"/>
      <c r="AB42" s="193"/>
      <c r="AC42" s="193"/>
      <c r="AD42" s="193"/>
      <c r="AE42" s="193"/>
      <c r="AF42" s="193"/>
      <c r="AG42" s="193"/>
      <c r="AH42" s="193"/>
      <c r="AI42" s="188"/>
      <c r="AJ42" s="188" t="str">
        <f t="shared" si="2"/>
        <v/>
      </c>
      <c r="BA42" s="83"/>
      <c r="BD42" s="83"/>
      <c r="BE42" s="83"/>
      <c r="BF42" s="83"/>
      <c r="BG42" s="83"/>
      <c r="BH42" s="83"/>
      <c r="BI42" s="83"/>
      <c r="BJ42" s="83"/>
      <c r="BK42" s="83"/>
      <c r="BL42" s="135"/>
      <c r="BM42" s="135"/>
      <c r="BN42" s="135"/>
      <c r="BO42" s="135"/>
      <c r="BP42" s="135"/>
      <c r="BQ42" s="135"/>
      <c r="BR42" s="135"/>
      <c r="BS42" s="135"/>
      <c r="BT42" s="135"/>
      <c r="BU42" s="135"/>
      <c r="BV42" s="135"/>
      <c r="BW42" s="135"/>
      <c r="BX42" s="135"/>
      <c r="BY42" s="135"/>
      <c r="BZ42" s="135"/>
    </row>
    <row r="43" spans="1:78" s="86" customFormat="1" ht="16" customHeight="1">
      <c r="A43" s="200" t="str">
        <f t="shared" si="0"/>
        <v/>
      </c>
      <c r="B43" s="200"/>
      <c r="C43" s="200"/>
      <c r="D43" s="200"/>
      <c r="E43" s="200"/>
      <c r="F43" s="202" t="str">
        <f>IF(A43="","",X43&amp;" "&amp;裝櫃表格!$W$34&amp;AJ43)</f>
        <v/>
      </c>
      <c r="G43" s="202"/>
      <c r="H43" s="202"/>
      <c r="I43" s="202"/>
      <c r="J43" s="202"/>
      <c r="K43" s="202"/>
      <c r="L43" s="200"/>
      <c r="M43" s="203" t="str">
        <f t="shared" si="1"/>
        <v/>
      </c>
      <c r="N43" s="203"/>
      <c r="O43" s="203"/>
      <c r="P43" s="203"/>
      <c r="Q43" s="203"/>
      <c r="R43" s="200"/>
      <c r="S43" s="200"/>
      <c r="T43" s="98"/>
      <c r="U43" s="191"/>
      <c r="V43" s="191"/>
      <c r="W43" s="191"/>
      <c r="X43" s="192"/>
      <c r="Z43" s="193"/>
      <c r="AA43" s="193"/>
      <c r="AB43" s="193"/>
      <c r="AC43" s="193"/>
      <c r="AD43" s="193"/>
      <c r="AE43" s="193"/>
      <c r="AF43" s="193"/>
      <c r="AG43" s="193"/>
      <c r="AH43" s="193"/>
      <c r="AI43" s="188"/>
      <c r="AJ43" s="188" t="str">
        <f t="shared" si="2"/>
        <v/>
      </c>
      <c r="BA43" s="83"/>
      <c r="BD43" s="83"/>
      <c r="BE43" s="83"/>
      <c r="BF43" s="83"/>
      <c r="BG43" s="83"/>
      <c r="BH43" s="83"/>
      <c r="BI43" s="83"/>
      <c r="BJ43" s="83"/>
      <c r="BK43" s="83"/>
      <c r="BL43" s="135"/>
      <c r="BM43" s="135"/>
      <c r="BN43" s="135"/>
      <c r="BO43" s="135"/>
      <c r="BP43" s="135"/>
      <c r="BQ43" s="135"/>
      <c r="BR43" s="135"/>
      <c r="BS43" s="135"/>
      <c r="BT43" s="135"/>
      <c r="BU43" s="135"/>
      <c r="BV43" s="135"/>
      <c r="BW43" s="135"/>
      <c r="BX43" s="135"/>
      <c r="BY43" s="135"/>
      <c r="BZ43" s="135"/>
    </row>
    <row r="44" spans="1:78" s="86" customFormat="1" ht="16" customHeight="1">
      <c r="A44" s="200" t="str">
        <f t="shared" si="0"/>
        <v/>
      </c>
      <c r="B44" s="200"/>
      <c r="C44" s="200"/>
      <c r="D44" s="200"/>
      <c r="E44" s="200"/>
      <c r="F44" s="202" t="str">
        <f>IF(A44="","",X44&amp;" "&amp;裝櫃表格!$W$34&amp;AJ44)</f>
        <v/>
      </c>
      <c r="G44" s="202"/>
      <c r="H44" s="202"/>
      <c r="I44" s="202"/>
      <c r="J44" s="202"/>
      <c r="K44" s="202"/>
      <c r="L44" s="200"/>
      <c r="M44" s="203" t="str">
        <f t="shared" si="1"/>
        <v/>
      </c>
      <c r="N44" s="203"/>
      <c r="O44" s="203"/>
      <c r="P44" s="203"/>
      <c r="Q44" s="203"/>
      <c r="R44" s="200"/>
      <c r="S44" s="200"/>
      <c r="T44" s="98"/>
      <c r="U44" s="191"/>
      <c r="V44" s="191"/>
      <c r="W44" s="191"/>
      <c r="X44" s="192"/>
      <c r="Z44" s="193"/>
      <c r="AA44" s="193"/>
      <c r="AB44" s="193"/>
      <c r="AC44" s="193"/>
      <c r="AD44" s="193"/>
      <c r="AE44" s="193"/>
      <c r="AF44" s="193"/>
      <c r="AG44" s="193"/>
      <c r="AH44" s="193"/>
      <c r="AI44" s="188"/>
      <c r="AJ44" s="188" t="str">
        <f t="shared" si="2"/>
        <v/>
      </c>
      <c r="BA44" s="83"/>
      <c r="BD44" s="83"/>
      <c r="BE44" s="83"/>
      <c r="BF44" s="83"/>
      <c r="BG44" s="83"/>
      <c r="BH44" s="83"/>
      <c r="BI44" s="83"/>
      <c r="BJ44" s="83"/>
      <c r="BK44" s="83"/>
      <c r="BL44" s="135"/>
      <c r="BM44" s="135"/>
      <c r="BN44" s="135"/>
      <c r="BO44" s="135"/>
      <c r="BP44" s="135"/>
      <c r="BQ44" s="135"/>
      <c r="BR44" s="135"/>
      <c r="BS44" s="135"/>
      <c r="BT44" s="135"/>
      <c r="BU44" s="135"/>
      <c r="BV44" s="135"/>
      <c r="BW44" s="135"/>
      <c r="BX44" s="135"/>
      <c r="BY44" s="135"/>
      <c r="BZ44" s="135"/>
    </row>
    <row r="45" spans="1:78" s="86" customFormat="1" ht="16" customHeight="1">
      <c r="A45" s="200" t="str">
        <f t="shared" si="0"/>
        <v/>
      </c>
      <c r="B45" s="200"/>
      <c r="C45" s="200"/>
      <c r="D45" s="200"/>
      <c r="E45" s="200"/>
      <c r="F45" s="202" t="str">
        <f>IF(A45="","",X45&amp;" "&amp;裝櫃表格!$W$34&amp;AJ45)</f>
        <v/>
      </c>
      <c r="G45" s="202"/>
      <c r="H45" s="202"/>
      <c r="I45" s="202"/>
      <c r="J45" s="202"/>
      <c r="K45" s="202"/>
      <c r="L45" s="200"/>
      <c r="M45" s="203" t="str">
        <f t="shared" si="1"/>
        <v/>
      </c>
      <c r="N45" s="203"/>
      <c r="O45" s="203"/>
      <c r="P45" s="203"/>
      <c r="Q45" s="203"/>
      <c r="R45" s="200"/>
      <c r="S45" s="200"/>
      <c r="T45" s="98"/>
      <c r="U45" s="191"/>
      <c r="V45" s="191"/>
      <c r="W45" s="191"/>
      <c r="X45" s="192"/>
      <c r="Z45" s="193"/>
      <c r="AA45" s="193"/>
      <c r="AB45" s="193"/>
      <c r="AC45" s="193"/>
      <c r="AD45" s="193"/>
      <c r="AE45" s="193"/>
      <c r="AF45" s="193"/>
      <c r="AG45" s="193"/>
      <c r="AH45" s="193"/>
      <c r="AI45" s="188"/>
      <c r="AJ45" s="188" t="str">
        <f t="shared" si="2"/>
        <v/>
      </c>
      <c r="BA45" s="83"/>
      <c r="BD45" s="83"/>
      <c r="BE45" s="83"/>
      <c r="BF45" s="83"/>
      <c r="BG45" s="83"/>
      <c r="BH45" s="83"/>
      <c r="BI45" s="83"/>
      <c r="BJ45" s="83"/>
      <c r="BK45" s="83"/>
      <c r="BL45" s="135"/>
      <c r="BM45" s="135"/>
      <c r="BN45" s="135"/>
      <c r="BO45" s="135"/>
      <c r="BP45" s="135"/>
      <c r="BQ45" s="135"/>
      <c r="BR45" s="135"/>
      <c r="BS45" s="135"/>
      <c r="BT45" s="135"/>
      <c r="BU45" s="135"/>
      <c r="BV45" s="135"/>
      <c r="BW45" s="135"/>
      <c r="BX45" s="135"/>
      <c r="BY45" s="135"/>
      <c r="BZ45" s="135"/>
    </row>
    <row r="46" spans="1:78" s="86" customFormat="1" ht="16" customHeight="1">
      <c r="A46" s="200" t="str">
        <f t="shared" si="0"/>
        <v/>
      </c>
      <c r="B46" s="200"/>
      <c r="C46" s="200"/>
      <c r="D46" s="200"/>
      <c r="E46" s="200"/>
      <c r="F46" s="202" t="str">
        <f>IF(A46="","",X46&amp;" "&amp;裝櫃表格!$W$34&amp;AJ46)</f>
        <v/>
      </c>
      <c r="G46" s="202"/>
      <c r="H46" s="202"/>
      <c r="I46" s="202"/>
      <c r="J46" s="202"/>
      <c r="K46" s="202"/>
      <c r="L46" s="200"/>
      <c r="M46" s="203" t="str">
        <f t="shared" si="1"/>
        <v/>
      </c>
      <c r="N46" s="203"/>
      <c r="O46" s="203"/>
      <c r="P46" s="203"/>
      <c r="Q46" s="203"/>
      <c r="R46" s="200"/>
      <c r="S46" s="200"/>
      <c r="T46" s="98"/>
      <c r="U46" s="191"/>
      <c r="V46" s="191"/>
      <c r="W46" s="191"/>
      <c r="X46" s="192"/>
      <c r="Z46" s="193"/>
      <c r="AA46" s="193"/>
      <c r="AB46" s="193"/>
      <c r="AC46" s="193"/>
      <c r="AD46" s="193"/>
      <c r="AE46" s="193"/>
      <c r="AF46" s="193"/>
      <c r="AG46" s="193"/>
      <c r="AH46" s="193"/>
      <c r="AI46" s="188"/>
      <c r="AJ46" s="188" t="str">
        <f t="shared" si="2"/>
        <v/>
      </c>
      <c r="BA46" s="83"/>
      <c r="BD46" s="83"/>
      <c r="BE46" s="83"/>
      <c r="BF46" s="83"/>
      <c r="BG46" s="83"/>
      <c r="BH46" s="83"/>
      <c r="BI46" s="83"/>
      <c r="BJ46" s="83"/>
      <c r="BK46" s="83"/>
      <c r="BL46" s="135"/>
      <c r="BM46" s="135"/>
      <c r="BN46" s="135"/>
      <c r="BO46" s="135"/>
      <c r="BP46" s="135"/>
      <c r="BQ46" s="135"/>
      <c r="BR46" s="135"/>
      <c r="BS46" s="135"/>
      <c r="BT46" s="135"/>
      <c r="BU46" s="135"/>
      <c r="BV46" s="135"/>
      <c r="BW46" s="135"/>
      <c r="BX46" s="135"/>
      <c r="BY46" s="135"/>
      <c r="BZ46" s="135"/>
    </row>
    <row r="47" spans="1:78" s="86" customFormat="1" ht="16" customHeight="1">
      <c r="A47" s="200" t="str">
        <f t="shared" si="0"/>
        <v/>
      </c>
      <c r="B47" s="200"/>
      <c r="C47" s="200"/>
      <c r="D47" s="200"/>
      <c r="E47" s="200"/>
      <c r="F47" s="202" t="str">
        <f>IF(A47="","",X47&amp;" "&amp;裝櫃表格!$W$34&amp;AJ47)</f>
        <v/>
      </c>
      <c r="G47" s="202"/>
      <c r="H47" s="202"/>
      <c r="I47" s="202"/>
      <c r="J47" s="202"/>
      <c r="K47" s="202"/>
      <c r="L47" s="204"/>
      <c r="M47" s="203" t="str">
        <f t="shared" si="1"/>
        <v/>
      </c>
      <c r="N47" s="203"/>
      <c r="O47" s="203"/>
      <c r="P47" s="203"/>
      <c r="Q47" s="203"/>
      <c r="R47" s="200"/>
      <c r="S47" s="204"/>
      <c r="T47" s="98"/>
      <c r="U47" s="191"/>
      <c r="V47" s="191"/>
      <c r="W47" s="191"/>
      <c r="X47" s="188"/>
      <c r="Z47" s="193"/>
      <c r="AA47" s="193"/>
      <c r="AB47" s="193"/>
      <c r="AC47" s="193"/>
      <c r="AD47" s="193"/>
      <c r="AE47" s="193"/>
      <c r="AF47" s="193"/>
      <c r="AG47" s="193"/>
      <c r="AH47" s="193"/>
      <c r="AI47" s="188"/>
      <c r="AJ47" s="188" t="str">
        <f t="shared" si="2"/>
        <v/>
      </c>
      <c r="BA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row>
    <row r="48" spans="1:78" s="86" customFormat="1" ht="16" customHeight="1">
      <c r="A48" s="200" t="str">
        <f t="shared" si="0"/>
        <v/>
      </c>
      <c r="B48" s="200"/>
      <c r="C48" s="200"/>
      <c r="D48" s="200"/>
      <c r="E48" s="200"/>
      <c r="F48" s="202" t="str">
        <f>IF(A48="","",X48&amp;" "&amp;裝櫃表格!$W$34&amp;AJ48)</f>
        <v/>
      </c>
      <c r="G48" s="202"/>
      <c r="H48" s="202"/>
      <c r="I48" s="202"/>
      <c r="J48" s="202"/>
      <c r="K48" s="202"/>
      <c r="L48" s="204"/>
      <c r="M48" s="203" t="str">
        <f t="shared" si="1"/>
        <v/>
      </c>
      <c r="N48" s="203"/>
      <c r="O48" s="203"/>
      <c r="P48" s="203"/>
      <c r="Q48" s="203"/>
      <c r="R48" s="200"/>
      <c r="S48" s="204"/>
      <c r="T48" s="98"/>
      <c r="U48" s="191"/>
      <c r="V48" s="191"/>
      <c r="W48" s="191"/>
      <c r="X48" s="188"/>
      <c r="Z48" s="193"/>
      <c r="AA48" s="193"/>
      <c r="AB48" s="193"/>
      <c r="AC48" s="193"/>
      <c r="AD48" s="193"/>
      <c r="AE48" s="193"/>
      <c r="AF48" s="193"/>
      <c r="AG48" s="193"/>
      <c r="AH48" s="193"/>
      <c r="AI48" s="188"/>
      <c r="AJ48" s="188" t="str">
        <f t="shared" si="2"/>
        <v/>
      </c>
      <c r="BA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row>
    <row r="49" spans="1:73" s="83" customFormat="1" ht="16" customHeight="1">
      <c r="A49" s="200" t="str">
        <f t="shared" si="0"/>
        <v/>
      </c>
      <c r="B49" s="198"/>
      <c r="C49" s="198"/>
      <c r="D49" s="198"/>
      <c r="E49" s="198"/>
      <c r="F49" s="202" t="str">
        <f>IF(A49="","",X49&amp;" "&amp;裝櫃表格!$W$34&amp;AJ49)</f>
        <v/>
      </c>
      <c r="G49" s="205"/>
      <c r="H49" s="205"/>
      <c r="I49" s="198"/>
      <c r="J49" s="198"/>
      <c r="K49" s="205"/>
      <c r="L49" s="205"/>
      <c r="M49" s="203" t="str">
        <f t="shared" si="1"/>
        <v/>
      </c>
      <c r="N49" s="198"/>
      <c r="O49" s="205"/>
      <c r="P49" s="198"/>
      <c r="Q49" s="198"/>
      <c r="R49" s="205"/>
      <c r="S49" s="205"/>
      <c r="U49" s="191"/>
      <c r="V49" s="191"/>
      <c r="W49" s="191"/>
      <c r="X49" s="191"/>
      <c r="Z49" s="193"/>
      <c r="AA49" s="193"/>
      <c r="AB49" s="193"/>
      <c r="AC49" s="193"/>
      <c r="AD49" s="193"/>
      <c r="AE49" s="193"/>
      <c r="AF49" s="193"/>
      <c r="AG49" s="193"/>
      <c r="AH49" s="193"/>
      <c r="AI49" s="191"/>
      <c r="AJ49" s="188" t="str">
        <f t="shared" si="2"/>
        <v/>
      </c>
    </row>
    <row r="50" spans="1:73" s="83" customFormat="1" ht="16" customHeight="1">
      <c r="A50" s="200" t="str">
        <f t="shared" si="0"/>
        <v/>
      </c>
      <c r="B50" s="198"/>
      <c r="C50" s="198"/>
      <c r="D50" s="198"/>
      <c r="E50" s="198"/>
      <c r="F50" s="202" t="str">
        <f>IF(A50="","",X50&amp;" "&amp;裝櫃表格!$W$34&amp;AJ50)</f>
        <v/>
      </c>
      <c r="G50" s="205"/>
      <c r="H50" s="205"/>
      <c r="I50" s="198"/>
      <c r="J50" s="198"/>
      <c r="K50" s="205"/>
      <c r="L50" s="205"/>
      <c r="M50" s="203" t="str">
        <f t="shared" si="1"/>
        <v/>
      </c>
      <c r="N50" s="198"/>
      <c r="O50" s="205"/>
      <c r="P50" s="198"/>
      <c r="Q50" s="198"/>
      <c r="R50" s="205"/>
      <c r="S50" s="205"/>
      <c r="U50" s="191"/>
      <c r="V50" s="191"/>
      <c r="W50" s="191"/>
      <c r="X50" s="191"/>
      <c r="Z50" s="193"/>
      <c r="AA50" s="193"/>
      <c r="AB50" s="193"/>
      <c r="AC50" s="193"/>
      <c r="AD50" s="193"/>
      <c r="AE50" s="193"/>
      <c r="AF50" s="193"/>
      <c r="AG50" s="193"/>
      <c r="AH50" s="193"/>
      <c r="AI50" s="191"/>
      <c r="AJ50" s="188" t="str">
        <f t="shared" si="2"/>
        <v/>
      </c>
    </row>
    <row r="51" spans="1:73" s="83" customFormat="1" ht="16" customHeight="1">
      <c r="A51" s="200" t="str">
        <f t="shared" si="0"/>
        <v/>
      </c>
      <c r="B51" s="198"/>
      <c r="C51" s="198"/>
      <c r="D51" s="198"/>
      <c r="E51" s="198"/>
      <c r="F51" s="202" t="str">
        <f>IF(A51="","",X51&amp;" "&amp;裝櫃表格!$W$34&amp;AJ51)</f>
        <v/>
      </c>
      <c r="G51" s="205"/>
      <c r="H51" s="205"/>
      <c r="I51" s="198"/>
      <c r="J51" s="198"/>
      <c r="K51" s="205"/>
      <c r="L51" s="205"/>
      <c r="M51" s="203" t="str">
        <f t="shared" si="1"/>
        <v/>
      </c>
      <c r="N51" s="198"/>
      <c r="O51" s="205"/>
      <c r="P51" s="198"/>
      <c r="Q51" s="198"/>
      <c r="R51" s="205"/>
      <c r="S51" s="205"/>
      <c r="U51" s="191"/>
      <c r="V51" s="191"/>
      <c r="W51" s="191"/>
      <c r="X51" s="191"/>
      <c r="Z51" s="193"/>
      <c r="AA51" s="193"/>
      <c r="AB51" s="193"/>
      <c r="AC51" s="193"/>
      <c r="AD51" s="193"/>
      <c r="AE51" s="193"/>
      <c r="AF51" s="193"/>
      <c r="AG51" s="193"/>
      <c r="AH51" s="193"/>
      <c r="AI51" s="191"/>
      <c r="AJ51" s="188" t="str">
        <f t="shared" si="2"/>
        <v/>
      </c>
    </row>
    <row r="52" spans="1:73" s="83" customFormat="1" ht="16" customHeight="1">
      <c r="A52" s="200" t="str">
        <f t="shared" si="0"/>
        <v/>
      </c>
      <c r="B52" s="198"/>
      <c r="C52" s="198"/>
      <c r="D52" s="198"/>
      <c r="E52" s="198"/>
      <c r="F52" s="202" t="str">
        <f>IF(A52="","",X52&amp;" "&amp;裝櫃表格!$W$34&amp;AJ52)</f>
        <v/>
      </c>
      <c r="G52" s="205"/>
      <c r="H52" s="205"/>
      <c r="I52" s="198"/>
      <c r="J52" s="198"/>
      <c r="K52" s="205"/>
      <c r="L52" s="205"/>
      <c r="M52" s="203" t="str">
        <f t="shared" si="1"/>
        <v/>
      </c>
      <c r="N52" s="198"/>
      <c r="O52" s="205"/>
      <c r="P52" s="198"/>
      <c r="Q52" s="198"/>
      <c r="R52" s="205"/>
      <c r="S52" s="205"/>
      <c r="U52" s="191"/>
      <c r="V52" s="191"/>
      <c r="W52" s="191"/>
      <c r="X52" s="191"/>
      <c r="Z52" s="193"/>
      <c r="AA52" s="193"/>
      <c r="AB52" s="193"/>
      <c r="AC52" s="193"/>
      <c r="AD52" s="193"/>
      <c r="AE52" s="193"/>
      <c r="AF52" s="193"/>
      <c r="AG52" s="193"/>
      <c r="AH52" s="193"/>
      <c r="AI52" s="191"/>
      <c r="AJ52" s="188" t="str">
        <f t="shared" si="2"/>
        <v/>
      </c>
    </row>
    <row r="53" spans="1:73" s="83" customFormat="1" ht="16" customHeight="1">
      <c r="A53" s="200" t="str">
        <f t="shared" si="0"/>
        <v/>
      </c>
      <c r="B53" s="200"/>
      <c r="C53" s="200"/>
      <c r="D53" s="200"/>
      <c r="E53" s="200"/>
      <c r="F53" s="202" t="str">
        <f>IF(A53="","",X53&amp;" "&amp;裝櫃表格!$W$34&amp;AJ53)</f>
        <v/>
      </c>
      <c r="G53" s="204"/>
      <c r="H53" s="204"/>
      <c r="I53" s="200"/>
      <c r="J53" s="200"/>
      <c r="K53" s="204"/>
      <c r="L53" s="204"/>
      <c r="M53" s="203" t="str">
        <f t="shared" si="1"/>
        <v/>
      </c>
      <c r="N53" s="200"/>
      <c r="O53" s="204"/>
      <c r="P53" s="200"/>
      <c r="Q53" s="200"/>
      <c r="R53" s="204"/>
      <c r="S53" s="204"/>
      <c r="U53" s="191"/>
      <c r="V53" s="191"/>
      <c r="W53" s="191"/>
      <c r="X53" s="191"/>
      <c r="Z53" s="193"/>
      <c r="AA53" s="193"/>
      <c r="AB53" s="193"/>
      <c r="AC53" s="193"/>
      <c r="AD53" s="193"/>
      <c r="AE53" s="193"/>
      <c r="AF53" s="193"/>
      <c r="AG53" s="193"/>
      <c r="AH53" s="193"/>
      <c r="AI53" s="191"/>
      <c r="AJ53" s="188" t="str">
        <f t="shared" si="2"/>
        <v/>
      </c>
    </row>
    <row r="54" spans="1:73" s="83" customFormat="1" ht="14">
      <c r="A54" s="200" t="str">
        <f t="shared" si="0"/>
        <v/>
      </c>
      <c r="B54" s="202"/>
      <c r="C54" s="202"/>
      <c r="D54" s="202"/>
      <c r="E54" s="202"/>
      <c r="F54" s="202" t="str">
        <f>IF(A54="","",X54&amp;" "&amp;裝櫃表格!$W$34&amp;AJ54)</f>
        <v/>
      </c>
      <c r="G54" s="202"/>
      <c r="H54" s="202"/>
      <c r="I54" s="202"/>
      <c r="J54" s="202"/>
      <c r="K54" s="202"/>
      <c r="L54" s="202"/>
      <c r="M54" s="203" t="str">
        <f t="shared" si="1"/>
        <v/>
      </c>
      <c r="N54" s="202"/>
      <c r="O54" s="202"/>
      <c r="P54" s="202"/>
      <c r="Q54" s="202"/>
      <c r="R54" s="202"/>
      <c r="S54" s="202"/>
      <c r="U54" s="191"/>
      <c r="V54" s="191"/>
      <c r="W54" s="191"/>
      <c r="X54" s="191"/>
      <c r="Z54" s="193"/>
      <c r="AA54" s="193"/>
      <c r="AB54" s="193"/>
      <c r="AC54" s="193"/>
      <c r="AD54" s="193"/>
      <c r="AE54" s="193"/>
      <c r="AF54" s="193"/>
      <c r="AG54" s="193"/>
      <c r="AH54" s="193"/>
      <c r="AI54" s="191"/>
      <c r="AJ54" s="188" t="str">
        <f t="shared" si="2"/>
        <v/>
      </c>
    </row>
    <row r="55" spans="1:73" s="83" customFormat="1" ht="14">
      <c r="A55" s="200" t="str">
        <f t="shared" si="0"/>
        <v/>
      </c>
      <c r="B55" s="202"/>
      <c r="C55" s="202"/>
      <c r="D55" s="206"/>
      <c r="E55" s="206"/>
      <c r="F55" s="202" t="str">
        <f>IF(A55="","",X55&amp;" "&amp;裝櫃表格!$W$34&amp;AJ55)</f>
        <v/>
      </c>
      <c r="G55" s="206"/>
      <c r="H55" s="184"/>
      <c r="I55" s="207"/>
      <c r="J55" s="207"/>
      <c r="K55" s="207"/>
      <c r="L55" s="207"/>
      <c r="M55" s="203" t="str">
        <f t="shared" si="1"/>
        <v/>
      </c>
      <c r="N55" s="207"/>
      <c r="O55" s="202"/>
      <c r="P55" s="202"/>
      <c r="Q55" s="202"/>
      <c r="R55" s="208"/>
      <c r="S55" s="208"/>
      <c r="U55" s="191"/>
      <c r="V55" s="191"/>
      <c r="W55" s="191"/>
      <c r="X55" s="191"/>
      <c r="Z55" s="193"/>
      <c r="AA55" s="193"/>
      <c r="AB55" s="193"/>
      <c r="AC55" s="193"/>
      <c r="AD55" s="193"/>
      <c r="AE55" s="193"/>
      <c r="AF55" s="193"/>
      <c r="AG55" s="193"/>
      <c r="AH55" s="193"/>
      <c r="AI55" s="191"/>
      <c r="AJ55" s="188" t="str">
        <f t="shared" si="2"/>
        <v/>
      </c>
    </row>
    <row r="56" spans="1:73" s="83" customFormat="1" ht="17" customHeight="1">
      <c r="A56" s="200" t="str">
        <f t="shared" si="0"/>
        <v/>
      </c>
      <c r="B56" s="202"/>
      <c r="C56" s="202"/>
      <c r="D56" s="206"/>
      <c r="E56" s="202"/>
      <c r="F56" s="202" t="str">
        <f>IF(A56="","",X56&amp;" "&amp;裝櫃表格!$W$34&amp;AJ56)</f>
        <v/>
      </c>
      <c r="G56" s="209"/>
      <c r="H56" s="209"/>
      <c r="I56" s="207"/>
      <c r="J56" s="207"/>
      <c r="K56" s="202"/>
      <c r="L56" s="202"/>
      <c r="M56" s="203" t="str">
        <f t="shared" si="1"/>
        <v/>
      </c>
      <c r="N56" s="202"/>
      <c r="O56" s="206"/>
      <c r="P56" s="206"/>
      <c r="Q56" s="207"/>
      <c r="R56" s="210"/>
      <c r="S56" s="210"/>
      <c r="U56" s="191"/>
      <c r="V56" s="191"/>
      <c r="W56" s="191"/>
      <c r="X56" s="191"/>
      <c r="Z56" s="193"/>
      <c r="AA56" s="193"/>
      <c r="AB56" s="193"/>
      <c r="AC56" s="193"/>
      <c r="AD56" s="193"/>
      <c r="AE56" s="193"/>
      <c r="AF56" s="193"/>
      <c r="AG56" s="193"/>
      <c r="AH56" s="193"/>
      <c r="AI56" s="191"/>
      <c r="AJ56" s="188" t="str">
        <f t="shared" si="2"/>
        <v/>
      </c>
    </row>
    <row r="57" spans="1:73" s="86" customFormat="1" ht="14.5">
      <c r="A57" s="200" t="str">
        <f t="shared" si="0"/>
        <v/>
      </c>
      <c r="B57" s="202"/>
      <c r="C57" s="202"/>
      <c r="D57" s="209"/>
      <c r="E57" s="202"/>
      <c r="F57" s="202" t="str">
        <f>IF(A57="","",X57&amp;" "&amp;裝櫃表格!$W$34&amp;AJ57)</f>
        <v/>
      </c>
      <c r="G57" s="202"/>
      <c r="H57" s="202"/>
      <c r="I57" s="207"/>
      <c r="J57" s="207"/>
      <c r="K57" s="207"/>
      <c r="L57" s="206"/>
      <c r="M57" s="203" t="str">
        <f t="shared" si="1"/>
        <v/>
      </c>
      <c r="N57" s="207"/>
      <c r="O57" s="207"/>
      <c r="P57" s="207"/>
      <c r="Q57" s="207"/>
      <c r="R57" s="207"/>
      <c r="S57" s="207"/>
      <c r="T57" s="83"/>
      <c r="U57" s="191"/>
      <c r="V57" s="191"/>
      <c r="W57" s="191"/>
      <c r="X57" s="191"/>
      <c r="Z57" s="193"/>
      <c r="AA57" s="193"/>
      <c r="AB57" s="193"/>
      <c r="AC57" s="193"/>
      <c r="AD57" s="193"/>
      <c r="AE57" s="193"/>
      <c r="AF57" s="193"/>
      <c r="AG57" s="193"/>
      <c r="AH57" s="193"/>
      <c r="AI57" s="188"/>
      <c r="AJ57" s="188" t="str">
        <f t="shared" si="2"/>
        <v/>
      </c>
      <c r="AK57" s="83"/>
      <c r="AL57" s="83"/>
      <c r="AM57" s="83"/>
      <c r="AN57" s="83"/>
      <c r="AO57" s="83"/>
      <c r="AP57" s="83"/>
      <c r="AQ57" s="83"/>
      <c r="AR57" s="83"/>
      <c r="AS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row>
    <row r="58" spans="1:73" s="86" customFormat="1" ht="14.5">
      <c r="A58" s="200" t="str">
        <f t="shared" si="0"/>
        <v/>
      </c>
      <c r="B58" s="202"/>
      <c r="C58" s="202"/>
      <c r="D58" s="211"/>
      <c r="E58" s="202"/>
      <c r="F58" s="202" t="str">
        <f>IF(A58="","",X58&amp;" "&amp;裝櫃表格!$W$34&amp;AJ58)</f>
        <v/>
      </c>
      <c r="G58" s="184"/>
      <c r="H58" s="212"/>
      <c r="I58" s="202"/>
      <c r="J58" s="202"/>
      <c r="K58" s="202"/>
      <c r="L58" s="202"/>
      <c r="M58" s="203" t="str">
        <f t="shared" si="1"/>
        <v/>
      </c>
      <c r="N58" s="202"/>
      <c r="O58" s="202"/>
      <c r="P58" s="202"/>
      <c r="Q58" s="202"/>
      <c r="R58" s="202"/>
      <c r="S58" s="202"/>
      <c r="T58" s="83"/>
      <c r="U58" s="191"/>
      <c r="V58" s="191"/>
      <c r="W58" s="191"/>
      <c r="X58" s="191"/>
      <c r="Z58" s="193"/>
      <c r="AA58" s="193"/>
      <c r="AB58" s="193"/>
      <c r="AC58" s="193"/>
      <c r="AD58" s="193"/>
      <c r="AE58" s="193"/>
      <c r="AF58" s="193"/>
      <c r="AG58" s="193"/>
      <c r="AH58" s="193"/>
      <c r="AI58" s="188"/>
      <c r="AJ58" s="188" t="str">
        <f t="shared" si="2"/>
        <v/>
      </c>
      <c r="AK58" s="83"/>
      <c r="AL58" s="83"/>
      <c r="AM58" s="83"/>
      <c r="AN58" s="83"/>
      <c r="AO58" s="83"/>
      <c r="AP58" s="83"/>
      <c r="AQ58" s="83"/>
      <c r="AR58" s="83"/>
      <c r="AS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row>
    <row r="59" spans="1:73">
      <c r="A59" s="200" t="str">
        <f t="shared" si="0"/>
        <v/>
      </c>
      <c r="F59" s="202" t="str">
        <f>IF(A59="","",X59&amp;" "&amp;裝櫃表格!$W$34&amp;AJ59)</f>
        <v/>
      </c>
      <c r="M59" s="203" t="str">
        <f t="shared" si="1"/>
        <v/>
      </c>
      <c r="Z59" s="193"/>
      <c r="AA59" s="193"/>
      <c r="AB59" s="193"/>
      <c r="AC59" s="193"/>
      <c r="AD59" s="193"/>
      <c r="AE59" s="193"/>
      <c r="AF59" s="193"/>
      <c r="AG59" s="193"/>
      <c r="AH59" s="193"/>
      <c r="AJ59" s="188" t="str">
        <f t="shared" si="2"/>
        <v/>
      </c>
    </row>
    <row r="60" spans="1:73">
      <c r="A60" s="200" t="str">
        <f t="shared" si="0"/>
        <v/>
      </c>
      <c r="F60" s="202" t="str">
        <f>IF(A60="","",X60&amp;" "&amp;裝櫃表格!$W$34&amp;AJ60)</f>
        <v/>
      </c>
      <c r="M60" s="203" t="str">
        <f t="shared" si="1"/>
        <v/>
      </c>
      <c r="Z60" s="193"/>
      <c r="AA60" s="193"/>
      <c r="AB60" s="193"/>
      <c r="AC60" s="193"/>
      <c r="AD60" s="193"/>
      <c r="AE60" s="193"/>
      <c r="AF60" s="193"/>
      <c r="AG60" s="193"/>
      <c r="AH60" s="193"/>
      <c r="AJ60" s="188" t="str">
        <f t="shared" si="2"/>
        <v/>
      </c>
    </row>
    <row r="61" spans="1:73">
      <c r="A61" s="200" t="str">
        <f t="shared" si="0"/>
        <v/>
      </c>
      <c r="F61" s="202" t="str">
        <f>IF(A61="","",X61&amp;" "&amp;裝櫃表格!$W$34&amp;AJ61)</f>
        <v/>
      </c>
      <c r="M61" s="203" t="str">
        <f t="shared" si="1"/>
        <v/>
      </c>
      <c r="R61" s="194" t="s">
        <v>25</v>
      </c>
      <c r="Z61" s="193"/>
      <c r="AA61" s="193"/>
      <c r="AB61" s="193"/>
      <c r="AC61" s="193"/>
      <c r="AD61" s="193"/>
      <c r="AE61" s="193"/>
      <c r="AF61" s="193"/>
      <c r="AG61" s="193"/>
      <c r="AH61" s="193"/>
      <c r="AJ61" s="188" t="str">
        <f t="shared" si="2"/>
        <v/>
      </c>
    </row>
    <row r="62" spans="1:73">
      <c r="A62" s="200" t="str">
        <f t="shared" si="0"/>
        <v/>
      </c>
      <c r="F62" s="202" t="str">
        <f>IF(A62="","",X62&amp;" "&amp;裝櫃表格!$W$34&amp;AJ62)</f>
        <v/>
      </c>
      <c r="M62" s="203" t="str">
        <f t="shared" si="1"/>
        <v/>
      </c>
      <c r="Z62" s="193"/>
      <c r="AA62" s="193"/>
      <c r="AB62" s="193"/>
      <c r="AC62" s="193"/>
      <c r="AD62" s="193"/>
      <c r="AE62" s="193"/>
      <c r="AF62" s="193"/>
      <c r="AG62" s="193"/>
      <c r="AH62" s="193"/>
      <c r="AJ62" s="188" t="str">
        <f t="shared" si="2"/>
        <v/>
      </c>
    </row>
    <row r="63" spans="1:73">
      <c r="A63" s="200" t="str">
        <f t="shared" si="0"/>
        <v/>
      </c>
      <c r="F63" s="202" t="str">
        <f>IF(A63="","",X63&amp;" "&amp;裝櫃表格!$W$34&amp;AJ63)</f>
        <v/>
      </c>
      <c r="M63" s="203" t="str">
        <f t="shared" si="1"/>
        <v/>
      </c>
      <c r="Z63" s="193"/>
      <c r="AA63" s="193"/>
      <c r="AB63" s="193"/>
      <c r="AC63" s="193"/>
      <c r="AD63" s="193"/>
      <c r="AE63" s="193"/>
      <c r="AF63" s="193"/>
      <c r="AG63" s="193"/>
      <c r="AH63" s="193"/>
      <c r="AJ63" s="188" t="str">
        <f t="shared" si="2"/>
        <v/>
      </c>
    </row>
    <row r="64" spans="1:73">
      <c r="A64" s="200" t="str">
        <f t="shared" si="0"/>
        <v/>
      </c>
      <c r="F64" s="202" t="str">
        <f>IF(A64="","",X64&amp;" "&amp;裝櫃表格!$W$34&amp;AJ64)</f>
        <v/>
      </c>
      <c r="M64" s="203" t="str">
        <f t="shared" si="1"/>
        <v/>
      </c>
      <c r="Z64" s="193"/>
      <c r="AA64" s="193"/>
      <c r="AB64" s="193"/>
      <c r="AC64" s="193"/>
      <c r="AD64" s="193"/>
      <c r="AE64" s="193"/>
      <c r="AF64" s="193"/>
      <c r="AG64" s="193"/>
      <c r="AH64" s="193"/>
      <c r="AJ64" s="188" t="str">
        <f t="shared" si="2"/>
        <v/>
      </c>
    </row>
    <row r="65" spans="1:36">
      <c r="A65" s="200" t="str">
        <f t="shared" si="0"/>
        <v/>
      </c>
      <c r="F65" s="202" t="str">
        <f>IF(A65="","",X65&amp;" "&amp;裝櫃表格!$W$34&amp;AJ65)</f>
        <v/>
      </c>
      <c r="M65" s="203" t="str">
        <f t="shared" si="1"/>
        <v/>
      </c>
      <c r="Z65" s="193"/>
      <c r="AA65" s="193"/>
      <c r="AB65" s="193"/>
      <c r="AC65" s="193"/>
      <c r="AD65" s="193"/>
      <c r="AE65" s="193"/>
      <c r="AF65" s="193"/>
      <c r="AG65" s="193"/>
      <c r="AH65" s="193"/>
      <c r="AJ65" s="188" t="str">
        <f t="shared" si="2"/>
        <v/>
      </c>
    </row>
    <row r="66" spans="1:36">
      <c r="A66" s="200" t="str">
        <f t="shared" si="0"/>
        <v/>
      </c>
      <c r="F66" s="202" t="str">
        <f>IF(A66="","",X66&amp;" "&amp;裝櫃表格!$W$34&amp;AJ66)</f>
        <v/>
      </c>
      <c r="M66" s="203" t="str">
        <f t="shared" si="1"/>
        <v/>
      </c>
      <c r="Z66" s="193"/>
      <c r="AA66" s="193"/>
      <c r="AB66" s="193"/>
      <c r="AC66" s="193"/>
      <c r="AD66" s="193"/>
      <c r="AE66" s="193"/>
      <c r="AF66" s="193"/>
      <c r="AG66" s="193"/>
      <c r="AH66" s="193"/>
      <c r="AJ66" s="188" t="str">
        <f t="shared" si="2"/>
        <v/>
      </c>
    </row>
    <row r="67" spans="1:36">
      <c r="A67" s="200" t="str">
        <f t="shared" si="0"/>
        <v/>
      </c>
      <c r="F67" s="202" t="str">
        <f>IF(A67="","",X67&amp;" "&amp;裝櫃表格!$W$34&amp;AJ67)</f>
        <v/>
      </c>
      <c r="M67" s="203" t="str">
        <f t="shared" si="1"/>
        <v/>
      </c>
      <c r="Z67" s="193"/>
      <c r="AA67" s="193"/>
      <c r="AB67" s="193"/>
      <c r="AC67" s="193"/>
      <c r="AD67" s="193"/>
      <c r="AE67" s="193"/>
      <c r="AF67" s="193"/>
      <c r="AG67" s="193"/>
      <c r="AH67" s="193"/>
      <c r="AJ67" s="188" t="str">
        <f t="shared" si="2"/>
        <v/>
      </c>
    </row>
    <row r="68" spans="1:36">
      <c r="A68" s="200" t="str">
        <f t="shared" si="0"/>
        <v/>
      </c>
      <c r="F68" s="202" t="str">
        <f>IF(A68="","",X68&amp;" "&amp;裝櫃表格!$W$34&amp;AJ68)</f>
        <v/>
      </c>
      <c r="M68" s="203" t="str">
        <f t="shared" si="1"/>
        <v/>
      </c>
      <c r="Z68" s="193"/>
      <c r="AA68" s="193"/>
      <c r="AB68" s="193"/>
      <c r="AC68" s="193"/>
      <c r="AD68" s="193"/>
      <c r="AE68" s="193"/>
      <c r="AF68" s="193"/>
      <c r="AG68" s="193"/>
      <c r="AH68" s="193"/>
      <c r="AJ68" s="188" t="str">
        <f t="shared" si="2"/>
        <v/>
      </c>
    </row>
    <row r="69" spans="1:36">
      <c r="A69" s="200" t="str">
        <f t="shared" si="0"/>
        <v/>
      </c>
      <c r="F69" s="202" t="str">
        <f>IF(A69="","",X69&amp;" "&amp;裝櫃表格!$W$34&amp;AJ69)</f>
        <v/>
      </c>
      <c r="M69" s="203" t="str">
        <f t="shared" si="1"/>
        <v/>
      </c>
      <c r="Z69" s="193"/>
      <c r="AA69" s="193"/>
      <c r="AB69" s="193"/>
      <c r="AC69" s="193"/>
      <c r="AD69" s="193"/>
      <c r="AE69" s="193"/>
      <c r="AF69" s="193"/>
      <c r="AG69" s="193"/>
      <c r="AH69" s="193"/>
      <c r="AJ69" s="188" t="str">
        <f t="shared" si="2"/>
        <v/>
      </c>
    </row>
    <row r="70" spans="1:36">
      <c r="A70" s="200" t="str">
        <f t="shared" si="0"/>
        <v/>
      </c>
      <c r="F70" s="202" t="str">
        <f>IF(A70="","",X70&amp;" "&amp;裝櫃表格!$W$34&amp;AJ70)</f>
        <v/>
      </c>
      <c r="M70" s="203" t="str">
        <f t="shared" si="1"/>
        <v/>
      </c>
      <c r="Z70" s="193"/>
      <c r="AA70" s="193"/>
      <c r="AB70" s="193"/>
      <c r="AC70" s="193"/>
      <c r="AD70" s="193"/>
      <c r="AE70" s="193"/>
      <c r="AF70" s="193"/>
      <c r="AG70" s="193"/>
      <c r="AH70" s="193"/>
      <c r="AJ70" s="188" t="str">
        <f t="shared" si="2"/>
        <v/>
      </c>
    </row>
    <row r="71" spans="1:36">
      <c r="A71" s="200" t="str">
        <f t="shared" si="0"/>
        <v/>
      </c>
      <c r="F71" s="202" t="str">
        <f>IF(A71="","",X71&amp;" "&amp;裝櫃表格!$W$34&amp;AJ71)</f>
        <v/>
      </c>
      <c r="M71" s="203" t="str">
        <f t="shared" si="1"/>
        <v/>
      </c>
      <c r="Z71" s="193"/>
      <c r="AA71" s="193"/>
      <c r="AB71" s="193"/>
      <c r="AC71" s="193"/>
      <c r="AD71" s="193"/>
      <c r="AE71" s="193"/>
      <c r="AF71" s="193"/>
      <c r="AG71" s="193"/>
      <c r="AH71" s="193"/>
      <c r="AJ71" s="188" t="str">
        <f t="shared" si="2"/>
        <v/>
      </c>
    </row>
    <row r="72" spans="1:36">
      <c r="A72" s="200" t="str">
        <f t="shared" ref="A72:A87" si="3">IF(U72="","",U72)</f>
        <v/>
      </c>
      <c r="F72" s="202" t="str">
        <f>IF(A72="","",X72&amp;" "&amp;裝櫃表格!$W$34&amp;AJ72)</f>
        <v/>
      </c>
      <c r="M72" s="203" t="str">
        <f t="shared" ref="M72:M87" si="4">IF(W72&lt;&gt;"",V72&amp;"/"&amp;W72,IF(V72="","",V72))</f>
        <v/>
      </c>
      <c r="Z72" s="193"/>
      <c r="AA72" s="193"/>
      <c r="AB72" s="193"/>
      <c r="AC72" s="193"/>
      <c r="AD72" s="193"/>
      <c r="AE72" s="193"/>
      <c r="AF72" s="193"/>
      <c r="AG72" s="193"/>
      <c r="AH72" s="193"/>
      <c r="AJ72" s="188" t="str">
        <f t="shared" ref="AJ72:AJ87" si="5">IF(Z72="",""," (No. "&amp;_xlfn.TEXTJOIN(", ",TRUE,Z72:AH72)&amp;")")</f>
        <v/>
      </c>
    </row>
    <row r="73" spans="1:36">
      <c r="A73" s="200" t="str">
        <f t="shared" si="3"/>
        <v/>
      </c>
      <c r="F73" s="202" t="str">
        <f>IF(A73="","",X73&amp;" "&amp;裝櫃表格!$W$34&amp;AJ73)</f>
        <v/>
      </c>
      <c r="M73" s="203" t="str">
        <f t="shared" si="4"/>
        <v/>
      </c>
      <c r="Z73" s="193"/>
      <c r="AA73" s="193"/>
      <c r="AB73" s="193"/>
      <c r="AC73" s="193"/>
      <c r="AD73" s="193"/>
      <c r="AE73" s="193"/>
      <c r="AF73" s="193"/>
      <c r="AG73" s="193"/>
      <c r="AH73" s="193"/>
      <c r="AJ73" s="188" t="str">
        <f t="shared" si="5"/>
        <v/>
      </c>
    </row>
    <row r="74" spans="1:36">
      <c r="A74" s="200" t="str">
        <f t="shared" si="3"/>
        <v/>
      </c>
      <c r="F74" s="202" t="str">
        <f>IF(A74="","",X74&amp;" "&amp;裝櫃表格!$W$34&amp;AJ74)</f>
        <v/>
      </c>
      <c r="M74" s="203" t="str">
        <f t="shared" si="4"/>
        <v/>
      </c>
      <c r="Z74" s="193"/>
      <c r="AA74" s="193"/>
      <c r="AB74" s="193"/>
      <c r="AC74" s="193"/>
      <c r="AD74" s="193"/>
      <c r="AE74" s="193"/>
      <c r="AF74" s="193"/>
      <c r="AG74" s="193"/>
      <c r="AH74" s="193"/>
      <c r="AJ74" s="188" t="str">
        <f t="shared" si="5"/>
        <v/>
      </c>
    </row>
    <row r="75" spans="1:36">
      <c r="A75" s="200" t="str">
        <f t="shared" si="3"/>
        <v/>
      </c>
      <c r="F75" s="202" t="str">
        <f>IF(A75="","",X75&amp;" "&amp;裝櫃表格!$W$34&amp;AJ75)</f>
        <v/>
      </c>
      <c r="M75" s="203" t="str">
        <f t="shared" si="4"/>
        <v/>
      </c>
      <c r="Z75" s="193"/>
      <c r="AA75" s="193"/>
      <c r="AB75" s="193"/>
      <c r="AC75" s="193"/>
      <c r="AD75" s="193"/>
      <c r="AE75" s="193"/>
      <c r="AF75" s="193"/>
      <c r="AG75" s="193"/>
      <c r="AH75" s="193"/>
      <c r="AJ75" s="188" t="str">
        <f t="shared" si="5"/>
        <v/>
      </c>
    </row>
    <row r="76" spans="1:36">
      <c r="A76" s="200" t="str">
        <f t="shared" si="3"/>
        <v/>
      </c>
      <c r="F76" s="202" t="str">
        <f>IF(A76="","",X76&amp;" "&amp;裝櫃表格!$W$34&amp;AJ76)</f>
        <v/>
      </c>
      <c r="M76" s="203" t="str">
        <f t="shared" si="4"/>
        <v/>
      </c>
      <c r="Z76" s="193"/>
      <c r="AA76" s="193"/>
      <c r="AB76" s="193"/>
      <c r="AC76" s="193"/>
      <c r="AD76" s="193"/>
      <c r="AE76" s="193"/>
      <c r="AF76" s="193"/>
      <c r="AG76" s="193"/>
      <c r="AH76" s="193"/>
      <c r="AJ76" s="188" t="str">
        <f t="shared" si="5"/>
        <v/>
      </c>
    </row>
    <row r="77" spans="1:36">
      <c r="A77" s="200" t="str">
        <f t="shared" si="3"/>
        <v/>
      </c>
      <c r="F77" s="202" t="str">
        <f>IF(A77="","",X77&amp;" "&amp;裝櫃表格!$W$34&amp;AJ77)</f>
        <v/>
      </c>
      <c r="M77" s="203" t="str">
        <f t="shared" si="4"/>
        <v/>
      </c>
      <c r="Z77" s="193"/>
      <c r="AA77" s="193"/>
      <c r="AB77" s="193"/>
      <c r="AC77" s="193"/>
      <c r="AD77" s="193"/>
      <c r="AE77" s="193"/>
      <c r="AF77" s="193"/>
      <c r="AG77" s="193"/>
      <c r="AH77" s="193"/>
      <c r="AJ77" s="188" t="str">
        <f t="shared" si="5"/>
        <v/>
      </c>
    </row>
    <row r="78" spans="1:36">
      <c r="A78" s="200" t="str">
        <f t="shared" si="3"/>
        <v/>
      </c>
      <c r="F78" s="202" t="str">
        <f>IF(A78="","",X78&amp;" "&amp;裝櫃表格!$W$34&amp;AJ78)</f>
        <v/>
      </c>
      <c r="M78" s="203" t="str">
        <f t="shared" si="4"/>
        <v/>
      </c>
      <c r="Z78" s="193"/>
      <c r="AA78" s="193"/>
      <c r="AB78" s="193"/>
      <c r="AC78" s="193"/>
      <c r="AD78" s="193"/>
      <c r="AE78" s="193"/>
      <c r="AF78" s="193"/>
      <c r="AG78" s="193"/>
      <c r="AH78" s="193"/>
      <c r="AJ78" s="188" t="str">
        <f t="shared" si="5"/>
        <v/>
      </c>
    </row>
    <row r="79" spans="1:36">
      <c r="A79" s="200" t="str">
        <f t="shared" si="3"/>
        <v/>
      </c>
      <c r="F79" s="202" t="str">
        <f>IF(A79="","",X79&amp;" "&amp;裝櫃表格!$W$34&amp;AJ79)</f>
        <v/>
      </c>
      <c r="M79" s="203" t="str">
        <f t="shared" si="4"/>
        <v/>
      </c>
      <c r="Z79" s="193"/>
      <c r="AA79" s="193"/>
      <c r="AB79" s="193"/>
      <c r="AC79" s="193"/>
      <c r="AD79" s="193"/>
      <c r="AE79" s="193"/>
      <c r="AF79" s="193"/>
      <c r="AG79" s="193"/>
      <c r="AH79" s="193"/>
      <c r="AJ79" s="188" t="str">
        <f t="shared" si="5"/>
        <v/>
      </c>
    </row>
    <row r="80" spans="1:36">
      <c r="A80" s="200" t="str">
        <f t="shared" si="3"/>
        <v/>
      </c>
      <c r="F80" s="202" t="str">
        <f>IF(A80="","",X80&amp;" "&amp;裝櫃表格!$W$34&amp;AJ80)</f>
        <v/>
      </c>
      <c r="M80" s="203" t="str">
        <f t="shared" si="4"/>
        <v/>
      </c>
      <c r="Z80" s="193"/>
      <c r="AA80" s="193"/>
      <c r="AB80" s="193"/>
      <c r="AC80" s="193"/>
      <c r="AD80" s="193"/>
      <c r="AE80" s="193"/>
      <c r="AF80" s="193"/>
      <c r="AG80" s="193"/>
      <c r="AH80" s="193"/>
      <c r="AJ80" s="188" t="str">
        <f t="shared" si="5"/>
        <v/>
      </c>
    </row>
    <row r="81" spans="1:36">
      <c r="A81" s="200" t="str">
        <f t="shared" si="3"/>
        <v/>
      </c>
      <c r="F81" s="202" t="str">
        <f>IF(A81="","",X81&amp;" "&amp;裝櫃表格!$W$34&amp;AJ81)</f>
        <v/>
      </c>
      <c r="M81" s="203" t="str">
        <f t="shared" si="4"/>
        <v/>
      </c>
      <c r="Z81" s="193"/>
      <c r="AA81" s="193"/>
      <c r="AB81" s="193"/>
      <c r="AC81" s="193"/>
      <c r="AD81" s="193"/>
      <c r="AE81" s="193"/>
      <c r="AF81" s="193"/>
      <c r="AG81" s="193"/>
      <c r="AH81" s="193"/>
      <c r="AJ81" s="188" t="str">
        <f t="shared" si="5"/>
        <v/>
      </c>
    </row>
    <row r="82" spans="1:36">
      <c r="A82" s="200" t="str">
        <f t="shared" si="3"/>
        <v/>
      </c>
      <c r="F82" s="202" t="str">
        <f>IF(A82="","",X82&amp;" "&amp;裝櫃表格!$W$34&amp;AJ82)</f>
        <v/>
      </c>
      <c r="M82" s="203" t="str">
        <f t="shared" si="4"/>
        <v/>
      </c>
      <c r="Z82" s="193"/>
      <c r="AA82" s="193"/>
      <c r="AB82" s="193"/>
      <c r="AC82" s="193"/>
      <c r="AD82" s="193"/>
      <c r="AE82" s="193"/>
      <c r="AF82" s="193"/>
      <c r="AG82" s="193"/>
      <c r="AH82" s="193"/>
      <c r="AJ82" s="188" t="str">
        <f t="shared" si="5"/>
        <v/>
      </c>
    </row>
    <row r="83" spans="1:36">
      <c r="A83" s="200" t="str">
        <f t="shared" si="3"/>
        <v/>
      </c>
      <c r="F83" s="202" t="str">
        <f>IF(A83="","",X83&amp;" "&amp;裝櫃表格!$W$34&amp;AJ83)</f>
        <v/>
      </c>
      <c r="M83" s="203" t="str">
        <f t="shared" si="4"/>
        <v/>
      </c>
      <c r="Z83" s="193"/>
      <c r="AA83" s="193"/>
      <c r="AB83" s="193"/>
      <c r="AC83" s="193"/>
      <c r="AD83" s="193"/>
      <c r="AE83" s="193"/>
      <c r="AF83" s="193"/>
      <c r="AG83" s="193"/>
      <c r="AH83" s="193"/>
      <c r="AJ83" s="188" t="str">
        <f t="shared" si="5"/>
        <v/>
      </c>
    </row>
    <row r="84" spans="1:36">
      <c r="A84" s="200" t="str">
        <f t="shared" si="3"/>
        <v/>
      </c>
      <c r="F84" s="202" t="str">
        <f>IF(A84="","",X84&amp;" "&amp;裝櫃表格!$W$34&amp;AJ84)</f>
        <v/>
      </c>
      <c r="M84" s="203" t="str">
        <f t="shared" si="4"/>
        <v/>
      </c>
      <c r="Z84" s="193"/>
      <c r="AA84" s="193"/>
      <c r="AB84" s="193"/>
      <c r="AC84" s="193"/>
      <c r="AD84" s="193"/>
      <c r="AE84" s="193"/>
      <c r="AF84" s="193"/>
      <c r="AG84" s="193"/>
      <c r="AH84" s="193"/>
      <c r="AJ84" s="188" t="str">
        <f t="shared" si="5"/>
        <v/>
      </c>
    </row>
    <row r="85" spans="1:36">
      <c r="A85" s="200" t="str">
        <f t="shared" si="3"/>
        <v/>
      </c>
      <c r="F85" s="202" t="str">
        <f>IF(A85="","",X85&amp;" "&amp;裝櫃表格!$W$34&amp;AJ85)</f>
        <v/>
      </c>
      <c r="M85" s="203" t="str">
        <f t="shared" si="4"/>
        <v/>
      </c>
      <c r="Z85" s="193"/>
      <c r="AA85" s="193"/>
      <c r="AB85" s="193"/>
      <c r="AC85" s="193"/>
      <c r="AD85" s="193"/>
      <c r="AE85" s="193"/>
      <c r="AF85" s="193"/>
      <c r="AG85" s="193"/>
      <c r="AH85" s="193"/>
      <c r="AJ85" s="188" t="str">
        <f t="shared" si="5"/>
        <v/>
      </c>
    </row>
    <row r="86" spans="1:36">
      <c r="A86" s="200" t="str">
        <f t="shared" si="3"/>
        <v/>
      </c>
      <c r="F86" s="202" t="str">
        <f>IF(A86="","",X86&amp;" "&amp;裝櫃表格!$W$34&amp;AJ86)</f>
        <v/>
      </c>
      <c r="M86" s="203" t="str">
        <f t="shared" si="4"/>
        <v/>
      </c>
      <c r="Z86" s="193"/>
      <c r="AA86" s="193"/>
      <c r="AB86" s="193"/>
      <c r="AC86" s="193"/>
      <c r="AD86" s="193"/>
      <c r="AE86" s="193"/>
      <c r="AF86" s="193"/>
      <c r="AG86" s="193"/>
      <c r="AH86" s="193"/>
      <c r="AJ86" s="188" t="str">
        <f t="shared" si="5"/>
        <v/>
      </c>
    </row>
    <row r="87" spans="1:36">
      <c r="A87" s="200" t="str">
        <f t="shared" si="3"/>
        <v/>
      </c>
      <c r="F87" s="202" t="str">
        <f>IF(A87="","",X87&amp;" "&amp;裝櫃表格!$W$34&amp;AJ87)</f>
        <v/>
      </c>
      <c r="M87" s="203" t="str">
        <f t="shared" si="4"/>
        <v/>
      </c>
      <c r="Z87" s="193"/>
      <c r="AA87" s="193"/>
      <c r="AB87" s="193"/>
      <c r="AC87" s="193"/>
      <c r="AD87" s="193"/>
      <c r="AE87" s="193"/>
      <c r="AF87" s="193"/>
      <c r="AG87" s="193"/>
      <c r="AH87" s="193"/>
      <c r="AJ87" s="188" t="str">
        <f t="shared" si="5"/>
        <v/>
      </c>
    </row>
    <row r="88" spans="1:36">
      <c r="AJ88" s="188" t="str">
        <f>IF(Z88="","","No. "&amp;_xlfn.TEXTJOIN(", ",TRUE,Z88:AC88)&amp;")")</f>
        <v/>
      </c>
    </row>
  </sheetData>
  <mergeCells count="8">
    <mergeCell ref="M3:N3"/>
    <mergeCell ref="O3:R3"/>
    <mergeCell ref="Z6:AH6"/>
    <mergeCell ref="F6:K6"/>
    <mergeCell ref="A6:D6"/>
    <mergeCell ref="M6:Q6"/>
    <mergeCell ref="M4:N4"/>
    <mergeCell ref="O4:R4"/>
  </mergeCells>
  <phoneticPr fontId="2" type="noConversion"/>
  <dataValidations count="1">
    <dataValidation type="list" allowBlank="1" showInputMessage="1" showErrorMessage="1" sqref="O3:R3" xr:uid="{5345E5C7-B381-4D9A-99D1-FA549B602C7B}">
      <formula1>"20',40'"</formula1>
    </dataValidation>
  </dataValidations>
  <printOptions horizontalCentered="1" verticalCentered="1"/>
  <pageMargins left="0.19685039370078741" right="0.19685039370078741" top="0.39370078740157483" bottom="0.39370078740157483" header="0.31496062992125984" footer="0.31496062992125984"/>
  <pageSetup paperSize="9" scale="74"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32144-6922-4DA7-A58C-7B2FFA5B3A5C}">
  <sheetPr codeName="工作表4">
    <tabColor rgb="FFFF0000"/>
  </sheetPr>
  <dimension ref="A1:BT64"/>
  <sheetViews>
    <sheetView tabSelected="1" view="pageBreakPreview" topLeftCell="A11" zoomScaleNormal="100" zoomScaleSheetLayoutView="100" workbookViewId="0">
      <selection activeCell="A27" sqref="A27"/>
    </sheetView>
  </sheetViews>
  <sheetFormatPr defaultRowHeight="14"/>
  <cols>
    <col min="1" max="23" width="3.36328125" style="73" customWidth="1"/>
    <col min="24" max="24" width="2" style="73" customWidth="1"/>
    <col min="25" max="34" width="4.6328125" style="79" customWidth="1"/>
    <col min="35" max="35" width="3.54296875" style="77" customWidth="1"/>
    <col min="36" max="36" width="9.1796875" style="77" hidden="1" customWidth="1"/>
    <col min="37" max="37" width="3.26953125" style="77" hidden="1" customWidth="1"/>
    <col min="38" max="46" width="4.6328125" style="79" customWidth="1"/>
    <col min="47" max="52" width="4.6328125" style="77" customWidth="1"/>
    <col min="53" max="53" width="3.6328125" style="77" customWidth="1"/>
    <col min="54" max="54" width="4" style="77" customWidth="1"/>
    <col min="55" max="55" width="4.81640625" style="77" customWidth="1"/>
    <col min="56" max="56" width="3.26953125" style="77" customWidth="1"/>
    <col min="57" max="57" width="4.453125" style="77" customWidth="1"/>
    <col min="58" max="72" width="5.6328125" style="77" customWidth="1"/>
    <col min="73" max="76" width="5.6328125" style="73" customWidth="1"/>
    <col min="77" max="82" width="2.453125" style="73" customWidth="1"/>
    <col min="83" max="16384" width="8.7265625" style="73"/>
  </cols>
  <sheetData>
    <row r="1" spans="1:72" ht="16" customHeight="1"/>
    <row r="2" spans="1:72" ht="16" customHeight="1">
      <c r="J2" s="74"/>
      <c r="K2" s="74"/>
      <c r="L2" s="74"/>
      <c r="M2" s="74"/>
      <c r="N2" s="74"/>
      <c r="O2" s="74"/>
      <c r="P2" s="74"/>
      <c r="Q2" s="74"/>
      <c r="R2" s="74"/>
      <c r="S2" s="74"/>
      <c r="T2" s="74"/>
      <c r="U2" s="74"/>
      <c r="V2" s="74"/>
      <c r="W2" s="74"/>
    </row>
    <row r="3" spans="1:72" ht="16" customHeight="1">
      <c r="J3" s="75"/>
      <c r="K3" s="75"/>
      <c r="L3" s="75"/>
      <c r="M3" s="110"/>
      <c r="N3" s="75"/>
      <c r="O3" s="75"/>
      <c r="P3" s="75"/>
      <c r="Q3" s="75"/>
      <c r="R3" s="75"/>
      <c r="S3" s="110"/>
      <c r="T3" s="75"/>
      <c r="U3" s="75"/>
      <c r="V3" s="75"/>
      <c r="W3" s="75"/>
    </row>
    <row r="4" spans="1:72" ht="16" customHeight="1" thickBot="1">
      <c r="J4" s="75"/>
      <c r="K4" s="75"/>
      <c r="L4" s="75"/>
      <c r="M4" s="110"/>
      <c r="N4" s="75"/>
      <c r="O4" s="75"/>
      <c r="P4" s="75"/>
      <c r="Q4" s="75"/>
      <c r="R4" s="75"/>
      <c r="S4" s="110"/>
      <c r="T4" s="75"/>
      <c r="U4" s="75"/>
      <c r="V4" s="75"/>
      <c r="W4" s="75"/>
      <c r="AU4" s="79"/>
      <c r="AV4" s="79"/>
      <c r="AW4" s="79"/>
      <c r="AX4" s="79"/>
      <c r="AY4" s="79"/>
      <c r="AZ4" s="79"/>
      <c r="BA4" s="79"/>
      <c r="BB4" s="79"/>
      <c r="BC4" s="79"/>
      <c r="BD4" s="79"/>
      <c r="BE4" s="79"/>
      <c r="BF4" s="79"/>
      <c r="BG4" s="79"/>
      <c r="BH4" s="79"/>
      <c r="BI4" s="79"/>
      <c r="BJ4" s="79"/>
      <c r="BK4" s="79"/>
      <c r="BL4" s="79"/>
      <c r="BM4" s="79"/>
      <c r="BN4" s="79"/>
      <c r="BO4" s="79"/>
      <c r="BP4" s="79"/>
      <c r="BQ4" s="76"/>
      <c r="BR4" s="76"/>
      <c r="BS4" s="76"/>
      <c r="BT4" s="76"/>
    </row>
    <row r="5" spans="1:72" ht="16" customHeight="1" thickBot="1">
      <c r="A5" s="277" t="s">
        <v>393</v>
      </c>
      <c r="B5" s="277"/>
      <c r="C5" s="277"/>
      <c r="D5" s="277"/>
      <c r="E5" s="277"/>
      <c r="F5" s="277"/>
      <c r="G5" s="277"/>
      <c r="H5" s="277"/>
      <c r="I5" s="277"/>
      <c r="J5" s="277"/>
      <c r="K5" s="277"/>
      <c r="L5" s="277"/>
      <c r="M5" s="277"/>
      <c r="N5" s="277"/>
      <c r="O5" s="277"/>
      <c r="P5" s="277"/>
      <c r="Q5" s="277"/>
      <c r="R5" s="277"/>
      <c r="S5" s="277"/>
      <c r="T5" s="277"/>
      <c r="U5" s="277"/>
      <c r="V5" s="277"/>
      <c r="W5" s="277"/>
      <c r="AL5" s="299" t="s">
        <v>390</v>
      </c>
      <c r="AM5" s="300"/>
      <c r="AN5" s="302"/>
      <c r="AO5" s="303" t="s">
        <v>391</v>
      </c>
      <c r="AP5" s="304"/>
      <c r="AQ5" s="305"/>
      <c r="AR5" s="229" t="s">
        <v>360</v>
      </c>
      <c r="AS5" s="229" t="s">
        <v>361</v>
      </c>
      <c r="AT5" s="306" t="s">
        <v>359</v>
      </c>
      <c r="AU5" s="299" t="s">
        <v>371</v>
      </c>
      <c r="AV5" s="300"/>
      <c r="AW5" s="300"/>
      <c r="AX5" s="300"/>
      <c r="AY5" s="301"/>
      <c r="AZ5" s="76"/>
      <c r="BA5" s="76"/>
      <c r="BB5" s="79"/>
      <c r="BC5" s="79"/>
      <c r="BD5" s="79"/>
      <c r="BE5" s="76"/>
      <c r="BF5" s="76"/>
      <c r="BG5" s="76"/>
      <c r="BH5" s="76"/>
      <c r="BI5" s="85"/>
      <c r="BJ5" s="85"/>
      <c r="BK5" s="85"/>
      <c r="BL5" s="85"/>
      <c r="BM5" s="85"/>
      <c r="BN5" s="85"/>
      <c r="BO5" s="85"/>
      <c r="BP5" s="78"/>
      <c r="BQ5" s="78"/>
      <c r="BR5" s="78"/>
      <c r="BS5" s="79"/>
      <c r="BT5" s="79"/>
    </row>
    <row r="6" spans="1:72" ht="16" customHeight="1" thickBot="1">
      <c r="A6" s="76"/>
      <c r="B6" s="76"/>
      <c r="C6" s="76"/>
      <c r="D6" s="76"/>
      <c r="E6" s="76"/>
      <c r="F6" s="76"/>
      <c r="G6" s="76"/>
      <c r="H6" s="76"/>
      <c r="I6" s="76"/>
      <c r="J6" s="76"/>
      <c r="K6" s="76"/>
      <c r="L6" s="76"/>
      <c r="M6" s="76"/>
      <c r="N6" s="76"/>
      <c r="O6" s="76"/>
      <c r="P6" s="76"/>
      <c r="Q6" s="76"/>
      <c r="R6" s="76"/>
      <c r="S6" s="76"/>
      <c r="T6" s="76"/>
      <c r="U6" s="76"/>
      <c r="V6" s="76"/>
      <c r="W6" s="76"/>
      <c r="X6" s="77"/>
      <c r="Y6" s="216" t="s">
        <v>351</v>
      </c>
      <c r="Z6" s="216" t="s">
        <v>337</v>
      </c>
      <c r="AA6" s="216" t="s">
        <v>338</v>
      </c>
      <c r="AB6" s="216" t="s">
        <v>339</v>
      </c>
      <c r="AC6" s="216" t="s">
        <v>340</v>
      </c>
      <c r="AD6" s="216" t="s">
        <v>341</v>
      </c>
      <c r="AE6" s="216" t="s">
        <v>342</v>
      </c>
      <c r="AF6" s="216" t="s">
        <v>343</v>
      </c>
      <c r="AG6" s="217" t="s">
        <v>344</v>
      </c>
      <c r="AH6" s="217" t="s">
        <v>354</v>
      </c>
      <c r="AI6" s="121"/>
      <c r="AJ6" s="215" t="s">
        <v>358</v>
      </c>
      <c r="AK6" s="213"/>
      <c r="AL6" s="219" t="s">
        <v>360</v>
      </c>
      <c r="AM6" s="220" t="s">
        <v>361</v>
      </c>
      <c r="AN6" s="221" t="s">
        <v>356</v>
      </c>
      <c r="AO6" s="230" t="s">
        <v>387</v>
      </c>
      <c r="AP6" s="230" t="s">
        <v>388</v>
      </c>
      <c r="AQ6" s="230" t="s">
        <v>389</v>
      </c>
      <c r="AR6" s="229" t="s">
        <v>607</v>
      </c>
      <c r="AS6" s="229" t="s">
        <v>607</v>
      </c>
      <c r="AT6" s="307"/>
      <c r="AU6" s="219" t="s">
        <v>360</v>
      </c>
      <c r="AV6" s="220" t="s">
        <v>361</v>
      </c>
      <c r="AW6" s="222" t="s">
        <v>363</v>
      </c>
      <c r="AX6" s="222" t="s">
        <v>364</v>
      </c>
      <c r="AY6" s="221" t="s">
        <v>369</v>
      </c>
      <c r="AZ6" s="79"/>
      <c r="BA6" s="79"/>
      <c r="BB6" s="79"/>
      <c r="BC6" s="79"/>
      <c r="BD6" s="79"/>
      <c r="BE6" s="76"/>
      <c r="BF6" s="76"/>
      <c r="BG6" s="76"/>
      <c r="BH6" s="76"/>
      <c r="BI6" s="76"/>
      <c r="BJ6" s="76"/>
      <c r="BK6" s="79"/>
      <c r="BL6" s="79"/>
      <c r="BM6" s="79"/>
      <c r="BN6" s="79"/>
      <c r="BO6" s="79"/>
      <c r="BP6" s="79"/>
      <c r="BQ6" s="79"/>
      <c r="BR6" s="79"/>
      <c r="BS6" s="76"/>
      <c r="BT6" s="76"/>
    </row>
    <row r="7" spans="1:72" s="86" customFormat="1" ht="16" customHeight="1">
      <c r="A7" s="309" t="s">
        <v>91</v>
      </c>
      <c r="B7" s="309"/>
      <c r="C7" s="309"/>
      <c r="D7" s="309"/>
      <c r="E7" s="311" t="s">
        <v>93</v>
      </c>
      <c r="F7" s="311"/>
      <c r="G7" s="311"/>
      <c r="H7" s="311"/>
      <c r="I7" s="311"/>
      <c r="J7" s="311"/>
      <c r="K7" s="311"/>
      <c r="L7" s="311"/>
      <c r="M7" s="311"/>
      <c r="N7" s="311"/>
      <c r="O7" s="311"/>
      <c r="P7" s="311"/>
      <c r="Q7" s="311"/>
      <c r="R7" s="311" t="s">
        <v>92</v>
      </c>
      <c r="S7" s="311"/>
      <c r="T7" s="311"/>
      <c r="U7" s="311"/>
      <c r="V7" s="83"/>
      <c r="W7" s="83"/>
      <c r="X7" s="83"/>
      <c r="Y7" s="214" t="s">
        <v>372</v>
      </c>
      <c r="Z7" s="214" t="s">
        <v>347</v>
      </c>
      <c r="AA7" s="214" t="s">
        <v>346</v>
      </c>
      <c r="AB7" s="214" t="s">
        <v>345</v>
      </c>
      <c r="AC7" s="163" t="s">
        <v>348</v>
      </c>
      <c r="AD7" s="163" t="s">
        <v>349</v>
      </c>
      <c r="AE7" s="163" t="s">
        <v>350</v>
      </c>
      <c r="AF7" s="163" t="s">
        <v>352</v>
      </c>
      <c r="AG7" s="163" t="s">
        <v>353</v>
      </c>
      <c r="AH7" s="163" t="s">
        <v>355</v>
      </c>
      <c r="AI7" s="83"/>
      <c r="AJ7" s="83"/>
      <c r="AK7" s="83"/>
      <c r="AL7" s="223" t="str">
        <f>"at eye packing "&amp;裝櫃表格!I23&amp;" sheet."</f>
        <v>at eye packing moisture-resistance sheet.</v>
      </c>
      <c r="AM7" s="223" t="str">
        <f>"on outer packing "&amp;裝櫃表格!I23&amp;" sheet."</f>
        <v>on outer packing moisture-resistance sheet.</v>
      </c>
      <c r="AN7" s="223" t="str">
        <f>"at one side packing "&amp;裝櫃表格!I23&amp;" sheet."</f>
        <v>at one side packing moisture-resistance sheet.</v>
      </c>
      <c r="AO7" s="223" t="str">
        <f>"on outer packing "&amp;裝櫃表格!I23&amp;" sheet's upper part."</f>
        <v>on outer packing moisture-resistance sheet's upper part.</v>
      </c>
      <c r="AP7" s="223" t="str">
        <f>"on outer packing "&amp;裝櫃表格!I23&amp;" sheet's lower part."</f>
        <v>on outer packing moisture-resistance sheet's lower part.</v>
      </c>
      <c r="AQ7" s="218" t="str">
        <f>"on outer packing "&amp;裝櫃表格!I23&amp;" sheet's lower edget."</f>
        <v>on outer packing moisture-resistance sheet's lower edget.</v>
      </c>
      <c r="AR7" s="218" t="s">
        <v>608</v>
      </c>
      <c r="AS7" s="218" t="s">
        <v>606</v>
      </c>
      <c r="AT7" s="224" t="s">
        <v>362</v>
      </c>
      <c r="AU7" s="223" t="s">
        <v>368</v>
      </c>
      <c r="AV7" s="223" t="s">
        <v>367</v>
      </c>
      <c r="AW7" s="223" t="s">
        <v>365</v>
      </c>
      <c r="AX7" s="224" t="s">
        <v>366</v>
      </c>
      <c r="AY7" s="224" t="s">
        <v>370</v>
      </c>
      <c r="AZ7" s="83"/>
      <c r="BA7" s="83"/>
      <c r="BB7" s="163"/>
      <c r="BC7" s="82"/>
      <c r="BD7" s="83"/>
      <c r="BE7" s="88"/>
      <c r="BF7" s="88"/>
      <c r="BG7" s="88"/>
      <c r="BH7" s="88"/>
      <c r="BI7" s="88"/>
      <c r="BJ7" s="88"/>
      <c r="BK7" s="88"/>
      <c r="BL7" s="83"/>
      <c r="BM7" s="83"/>
      <c r="BN7" s="83"/>
      <c r="BO7" s="83"/>
      <c r="BP7" s="83"/>
      <c r="BQ7" s="83"/>
      <c r="BR7" s="83"/>
      <c r="BS7" s="83"/>
      <c r="BT7" s="83"/>
    </row>
    <row r="8" spans="1:72" s="86" customFormat="1" ht="16" customHeight="1">
      <c r="A8" s="309">
        <v>4455599</v>
      </c>
      <c r="B8" s="309"/>
      <c r="C8" s="309"/>
      <c r="D8" s="309"/>
      <c r="E8" s="310" t="str">
        <f>IF(A8="","",W8)</f>
        <v>Partly broken on outer packing moisture-resistance sheet.</v>
      </c>
      <c r="F8" s="310"/>
      <c r="G8" s="310"/>
      <c r="H8" s="310"/>
      <c r="I8" s="310"/>
      <c r="J8" s="310"/>
      <c r="K8" s="310"/>
      <c r="L8" s="310"/>
      <c r="M8" s="310"/>
      <c r="N8" s="310"/>
      <c r="O8" s="310"/>
      <c r="P8" s="310"/>
      <c r="Q8" s="310"/>
      <c r="R8" s="309"/>
      <c r="S8" s="309"/>
      <c r="T8" s="309"/>
      <c r="U8" s="309"/>
      <c r="V8" s="83"/>
      <c r="W8" s="83" t="str">
        <f>"Partly "&amp;_xlfn.TEXTJOIN(", ",TRUE,BE8:BM8)&amp;AJ8&amp;_xlfn.TEXTJOIN(" Or ",TRUE,BA8:BC8)</f>
        <v>Partly broken on outer packing moisture-resistance sheet.</v>
      </c>
      <c r="X8" s="83"/>
      <c r="Y8" s="167"/>
      <c r="Z8" s="167" t="s">
        <v>357</v>
      </c>
      <c r="AA8" s="167"/>
      <c r="AB8" s="168"/>
      <c r="AC8" s="167"/>
      <c r="AD8" s="167"/>
      <c r="AE8" s="167"/>
      <c r="AF8" s="167"/>
      <c r="AG8" s="167"/>
      <c r="AH8" s="167"/>
      <c r="AI8" s="183"/>
      <c r="AJ8" s="183" t="s">
        <v>392</v>
      </c>
      <c r="AK8" s="183"/>
      <c r="AL8" s="167"/>
      <c r="AM8" s="167" t="s">
        <v>357</v>
      </c>
      <c r="AN8" s="167"/>
      <c r="AO8" s="167"/>
      <c r="AP8" s="167"/>
      <c r="AQ8" s="167"/>
      <c r="AR8" s="167"/>
      <c r="AS8" s="167"/>
      <c r="AT8" s="167"/>
      <c r="AU8" s="167"/>
      <c r="AV8" s="167"/>
      <c r="AW8" s="167"/>
      <c r="AX8" s="167"/>
      <c r="AY8" s="167"/>
      <c r="AZ8" s="183"/>
      <c r="BA8" s="183" t="str" cm="1">
        <f t="array" ref="BA8">_xlfn._xlws.FILTER($AL$7:$AY$7,AL8:AY8= "V")</f>
        <v>on outer packing moisture-resistance sheet.</v>
      </c>
      <c r="BB8" s="163"/>
      <c r="BC8" s="82"/>
      <c r="BD8" s="83"/>
      <c r="BE8" s="88"/>
      <c r="BF8" s="88" t="str" cm="1">
        <f t="array" ref="BF8">_xlfn._xlws.FILTER($Y$7:$AH$7,Y8:AH8= "V")</f>
        <v>broken</v>
      </c>
      <c r="BG8" s="88"/>
      <c r="BH8" s="88"/>
      <c r="BI8" s="88"/>
      <c r="BJ8" s="88"/>
      <c r="BK8" s="88"/>
      <c r="BL8" s="83"/>
      <c r="BM8" s="83"/>
      <c r="BN8" s="83"/>
      <c r="BO8" s="83"/>
      <c r="BP8" s="83"/>
      <c r="BQ8" s="83"/>
      <c r="BR8" s="83"/>
      <c r="BS8" s="83"/>
      <c r="BT8" s="83"/>
    </row>
    <row r="9" spans="1:72" s="86" customFormat="1" ht="23.5" customHeight="1">
      <c r="A9" s="309">
        <v>14414</v>
      </c>
      <c r="B9" s="309"/>
      <c r="C9" s="309"/>
      <c r="D9" s="309"/>
      <c r="E9" s="310" t="str">
        <f t="shared" ref="E9:E24" si="0">IF(A9="","",W9)</f>
        <v>Partly broken, bent, wrinkled at one side packing moisture-resistance sheet. Or at one side edge of inner windings.</v>
      </c>
      <c r="F9" s="310"/>
      <c r="G9" s="310"/>
      <c r="H9" s="310"/>
      <c r="I9" s="310"/>
      <c r="J9" s="310"/>
      <c r="K9" s="310"/>
      <c r="L9" s="310"/>
      <c r="M9" s="310"/>
      <c r="N9" s="310"/>
      <c r="O9" s="310"/>
      <c r="P9" s="310"/>
      <c r="Q9" s="310"/>
      <c r="R9" s="309"/>
      <c r="S9" s="309"/>
      <c r="T9" s="309"/>
      <c r="U9" s="309"/>
      <c r="V9" s="83"/>
      <c r="W9" s="83" t="str">
        <f t="shared" ref="W9:W24" si="1">"Partly "&amp;_xlfn.TEXTJOIN(", ",TRUE,BE9:BM9)&amp;AJ9&amp;_xlfn.TEXTJOIN(" Or ",TRUE,BA9:BC9)</f>
        <v>Partly broken, bent, wrinkled at one side packing moisture-resistance sheet. Or at one side edge of inner windings.</v>
      </c>
      <c r="X9" s="83"/>
      <c r="Y9" s="167"/>
      <c r="Z9" s="167" t="s">
        <v>357</v>
      </c>
      <c r="AA9" s="167" t="s">
        <v>357</v>
      </c>
      <c r="AB9" s="168"/>
      <c r="AC9" s="167"/>
      <c r="AD9" s="167" t="s">
        <v>357</v>
      </c>
      <c r="AE9" s="167"/>
      <c r="AF9" s="167"/>
      <c r="AG9" s="167"/>
      <c r="AH9" s="167"/>
      <c r="AI9" s="183"/>
      <c r="AJ9" s="183" t="s">
        <v>392</v>
      </c>
      <c r="AK9" s="183"/>
      <c r="AL9" s="167"/>
      <c r="AM9" s="167"/>
      <c r="AN9" s="167" t="s">
        <v>357</v>
      </c>
      <c r="AO9" s="167"/>
      <c r="AP9" s="167"/>
      <c r="AQ9" s="167"/>
      <c r="AR9" s="167"/>
      <c r="AS9" s="167"/>
      <c r="AT9" s="167"/>
      <c r="AU9" s="167"/>
      <c r="AV9" s="167"/>
      <c r="AW9" s="167" t="s">
        <v>357</v>
      </c>
      <c r="AX9" s="167"/>
      <c r="AY9" s="167"/>
      <c r="AZ9" s="183"/>
      <c r="BA9" s="183" t="str" cm="1">
        <f t="array" ref="BA9:BB9">_xlfn._xlws.FILTER($AL$7:$AY$7,AL9:AY9= "V")</f>
        <v>at one side packing moisture-resistance sheet.</v>
      </c>
      <c r="BB9" s="163" t="str">
        <v>at one side edge of inner windings.</v>
      </c>
      <c r="BC9" s="163"/>
      <c r="BD9" s="83"/>
      <c r="BE9" s="166"/>
      <c r="BF9" s="166" t="str" cm="1">
        <f t="array" ref="BF9:BH9">_xlfn._xlws.FILTER($Y$7:$AH$7,Y9:AH9= "V")</f>
        <v>broken</v>
      </c>
      <c r="BG9" s="88" t="str">
        <v>bent</v>
      </c>
      <c r="BH9" s="88" t="str">
        <v>wrinkled</v>
      </c>
      <c r="BI9" s="88"/>
      <c r="BJ9" s="88"/>
      <c r="BK9" s="88"/>
      <c r="BL9" s="83"/>
      <c r="BM9" s="83"/>
      <c r="BN9" s="83"/>
      <c r="BO9" s="83"/>
      <c r="BP9" s="83"/>
      <c r="BQ9" s="83"/>
      <c r="BR9" s="83"/>
      <c r="BS9" s="83"/>
      <c r="BT9" s="83"/>
    </row>
    <row r="10" spans="1:72" s="86" customFormat="1" ht="16" customHeight="1">
      <c r="A10" s="309"/>
      <c r="B10" s="309"/>
      <c r="C10" s="309"/>
      <c r="D10" s="309"/>
      <c r="E10" s="310" t="str">
        <f t="shared" si="0"/>
        <v/>
      </c>
      <c r="F10" s="310"/>
      <c r="G10" s="310"/>
      <c r="H10" s="310"/>
      <c r="I10" s="310"/>
      <c r="J10" s="310"/>
      <c r="K10" s="310"/>
      <c r="L10" s="310"/>
      <c r="M10" s="310"/>
      <c r="N10" s="310"/>
      <c r="O10" s="310"/>
      <c r="P10" s="310"/>
      <c r="Q10" s="310"/>
      <c r="R10" s="309"/>
      <c r="S10" s="309"/>
      <c r="T10" s="309"/>
      <c r="U10" s="309"/>
      <c r="V10" s="83"/>
      <c r="W10" s="83" t="e" vm="1">
        <f t="shared" si="1"/>
        <v>#VALUE!</v>
      </c>
      <c r="X10" s="83"/>
      <c r="Y10" s="167"/>
      <c r="Z10" s="167"/>
      <c r="AA10" s="167"/>
      <c r="AB10" s="168"/>
      <c r="AC10" s="167"/>
      <c r="AD10" s="167"/>
      <c r="AE10" s="167"/>
      <c r="AF10" s="167"/>
      <c r="AG10" s="167"/>
      <c r="AH10" s="167"/>
      <c r="AI10" s="183"/>
      <c r="AJ10" s="183" t="s">
        <v>392</v>
      </c>
      <c r="AK10" s="183"/>
      <c r="AL10" s="167"/>
      <c r="AM10" s="167"/>
      <c r="AN10" s="167"/>
      <c r="AO10" s="167"/>
      <c r="AP10" s="167"/>
      <c r="AQ10" s="167"/>
      <c r="AR10" s="167"/>
      <c r="AS10" s="167"/>
      <c r="AT10" s="167"/>
      <c r="AU10" s="167"/>
      <c r="AV10" s="167"/>
      <c r="AW10" s="167"/>
      <c r="AX10" s="167"/>
      <c r="AY10" s="167"/>
      <c r="AZ10" s="183"/>
      <c r="BA10" s="183" t="e" cm="1" vm="2">
        <f t="array" ref="BA10">_xlfn._xlws.FILTER($AL$7:$AY$7,AL10:AY10= "V")</f>
        <v>#VALUE!</v>
      </c>
      <c r="BB10" s="163"/>
      <c r="BC10" s="163"/>
      <c r="BD10" s="83"/>
      <c r="BE10" s="166"/>
      <c r="BF10" s="166" t="e" cm="1" vm="2">
        <f t="array" ref="BF10">_xlfn._xlws.FILTER($Y$7:$AH$7,Y10:AH10= "V")</f>
        <v>#VALUE!</v>
      </c>
      <c r="BG10" s="88"/>
      <c r="BH10" s="88"/>
      <c r="BI10" s="88"/>
      <c r="BJ10" s="88"/>
      <c r="BK10" s="88"/>
      <c r="BL10" s="83"/>
      <c r="BM10" s="83"/>
      <c r="BN10" s="83"/>
      <c r="BO10" s="83"/>
      <c r="BP10" s="83"/>
      <c r="BQ10" s="83"/>
      <c r="BR10" s="83"/>
      <c r="BS10" s="83"/>
      <c r="BT10" s="83"/>
    </row>
    <row r="11" spans="1:72" s="86" customFormat="1" ht="16" customHeight="1">
      <c r="A11" s="309"/>
      <c r="B11" s="309"/>
      <c r="C11" s="309"/>
      <c r="D11" s="309"/>
      <c r="E11" s="310" t="str">
        <f t="shared" si="0"/>
        <v/>
      </c>
      <c r="F11" s="310"/>
      <c r="G11" s="310"/>
      <c r="H11" s="310"/>
      <c r="I11" s="310"/>
      <c r="J11" s="310"/>
      <c r="K11" s="310"/>
      <c r="L11" s="310"/>
      <c r="M11" s="310"/>
      <c r="N11" s="310"/>
      <c r="O11" s="310"/>
      <c r="P11" s="310"/>
      <c r="Q11" s="310"/>
      <c r="R11" s="309"/>
      <c r="S11" s="309"/>
      <c r="T11" s="309"/>
      <c r="U11" s="309"/>
      <c r="V11" s="83"/>
      <c r="W11" s="83" t="e" vm="1">
        <f t="shared" si="1"/>
        <v>#VALUE!</v>
      </c>
      <c r="X11" s="83"/>
      <c r="Y11" s="167"/>
      <c r="Z11" s="167"/>
      <c r="AA11" s="167"/>
      <c r="AB11" s="168"/>
      <c r="AC11" s="167"/>
      <c r="AD11" s="167"/>
      <c r="AE11" s="167"/>
      <c r="AF11" s="167"/>
      <c r="AG11" s="167"/>
      <c r="AH11" s="167"/>
      <c r="AI11" s="183"/>
      <c r="AJ11" s="183" t="s">
        <v>392</v>
      </c>
      <c r="AK11" s="183"/>
      <c r="AL11" s="167"/>
      <c r="AM11" s="167"/>
      <c r="AN11" s="167"/>
      <c r="AO11" s="167"/>
      <c r="AP11" s="167"/>
      <c r="AQ11" s="167"/>
      <c r="AR11" s="167"/>
      <c r="AS11" s="167"/>
      <c r="AT11" s="167"/>
      <c r="AU11" s="167"/>
      <c r="AV11" s="167"/>
      <c r="AW11" s="167"/>
      <c r="AX11" s="167"/>
      <c r="AY11" s="167"/>
      <c r="AZ11" s="183"/>
      <c r="BA11" s="183" t="e" cm="1" vm="2">
        <f t="array" ref="BA11">_xlfn._xlws.FILTER($AL$7:$AY$7,AL11:AY11= "V")</f>
        <v>#VALUE!</v>
      </c>
      <c r="BB11" s="163"/>
      <c r="BC11" s="163"/>
      <c r="BD11" s="83"/>
      <c r="BE11" s="166"/>
      <c r="BF11" s="166" t="e" cm="1" vm="2">
        <f t="array" ref="BF11">_xlfn._xlws.FILTER($Y$7:$AH$7,Y11:AH11= "V")</f>
        <v>#VALUE!</v>
      </c>
      <c r="BG11" s="88"/>
      <c r="BH11" s="88"/>
      <c r="BI11" s="88"/>
      <c r="BJ11" s="88"/>
      <c r="BK11" s="88"/>
      <c r="BL11" s="83"/>
      <c r="BM11" s="83"/>
      <c r="BN11" s="83"/>
      <c r="BO11" s="83"/>
      <c r="BP11" s="83"/>
      <c r="BQ11" s="83"/>
      <c r="BR11" s="83"/>
      <c r="BS11" s="83"/>
      <c r="BT11" s="83"/>
    </row>
    <row r="12" spans="1:72" s="86" customFormat="1" ht="16" customHeight="1">
      <c r="A12" s="309"/>
      <c r="B12" s="309"/>
      <c r="C12" s="309"/>
      <c r="D12" s="309"/>
      <c r="E12" s="310" t="str">
        <f t="shared" si="0"/>
        <v/>
      </c>
      <c r="F12" s="310"/>
      <c r="G12" s="310"/>
      <c r="H12" s="310"/>
      <c r="I12" s="310"/>
      <c r="J12" s="310"/>
      <c r="K12" s="310"/>
      <c r="L12" s="310"/>
      <c r="M12" s="310"/>
      <c r="N12" s="310"/>
      <c r="O12" s="310"/>
      <c r="P12" s="310"/>
      <c r="Q12" s="310"/>
      <c r="R12" s="309"/>
      <c r="S12" s="309"/>
      <c r="T12" s="309"/>
      <c r="U12" s="309"/>
      <c r="V12" s="83"/>
      <c r="W12" s="83" t="e" vm="1">
        <f t="shared" si="1"/>
        <v>#VALUE!</v>
      </c>
      <c r="X12" s="83"/>
      <c r="Y12" s="167"/>
      <c r="Z12" s="167"/>
      <c r="AA12" s="167"/>
      <c r="AB12" s="168"/>
      <c r="AC12" s="167"/>
      <c r="AD12" s="167"/>
      <c r="AE12" s="167"/>
      <c r="AF12" s="167"/>
      <c r="AG12" s="167"/>
      <c r="AH12" s="167"/>
      <c r="AI12" s="183"/>
      <c r="AJ12" s="183" t="s">
        <v>392</v>
      </c>
      <c r="AK12" s="183"/>
      <c r="AL12" s="167"/>
      <c r="AM12" s="167"/>
      <c r="AN12" s="167"/>
      <c r="AO12" s="167"/>
      <c r="AP12" s="167"/>
      <c r="AQ12" s="167"/>
      <c r="AR12" s="167"/>
      <c r="AS12" s="167"/>
      <c r="AT12" s="167"/>
      <c r="AU12" s="167"/>
      <c r="AV12" s="167"/>
      <c r="AW12" s="167"/>
      <c r="AX12" s="167"/>
      <c r="AY12" s="167"/>
      <c r="AZ12" s="183"/>
      <c r="BA12" s="183" t="e" cm="1" vm="2">
        <f t="array" ref="BA12">_xlfn._xlws.FILTER($AL$7:$AY$7,AL12:AY12= "V")</f>
        <v>#VALUE!</v>
      </c>
      <c r="BB12" s="163"/>
      <c r="BC12" s="163"/>
      <c r="BD12" s="83"/>
      <c r="BE12" s="166"/>
      <c r="BF12" s="166" t="e" cm="1" vm="2">
        <f t="array" ref="BF12">_xlfn._xlws.FILTER($Y$7:$AH$7,Y12:AH12= "V")</f>
        <v>#VALUE!</v>
      </c>
      <c r="BG12" s="83"/>
      <c r="BH12" s="83"/>
      <c r="BI12" s="83"/>
      <c r="BJ12" s="83"/>
      <c r="BK12" s="83"/>
      <c r="BL12" s="83"/>
      <c r="BM12" s="83"/>
      <c r="BN12" s="83"/>
      <c r="BO12" s="83"/>
      <c r="BP12" s="83"/>
      <c r="BQ12" s="83"/>
      <c r="BR12" s="83"/>
      <c r="BS12" s="83"/>
      <c r="BT12" s="83"/>
    </row>
    <row r="13" spans="1:72" s="86" customFormat="1" ht="16" customHeight="1">
      <c r="A13" s="309"/>
      <c r="B13" s="309"/>
      <c r="C13" s="309"/>
      <c r="D13" s="309"/>
      <c r="E13" s="310" t="str">
        <f t="shared" si="0"/>
        <v/>
      </c>
      <c r="F13" s="310"/>
      <c r="G13" s="310"/>
      <c r="H13" s="310"/>
      <c r="I13" s="310"/>
      <c r="J13" s="310"/>
      <c r="K13" s="310"/>
      <c r="L13" s="310"/>
      <c r="M13" s="310"/>
      <c r="N13" s="310"/>
      <c r="O13" s="310"/>
      <c r="P13" s="310"/>
      <c r="Q13" s="310"/>
      <c r="R13" s="309"/>
      <c r="S13" s="309"/>
      <c r="T13" s="309"/>
      <c r="U13" s="309"/>
      <c r="V13" s="83"/>
      <c r="W13" s="83" t="e" vm="1">
        <f t="shared" si="1"/>
        <v>#VALUE!</v>
      </c>
      <c r="X13" s="83"/>
      <c r="Y13" s="167"/>
      <c r="Z13" s="167"/>
      <c r="AA13" s="167"/>
      <c r="AB13" s="168"/>
      <c r="AC13" s="167"/>
      <c r="AD13" s="167"/>
      <c r="AE13" s="167"/>
      <c r="AF13" s="167"/>
      <c r="AG13" s="167"/>
      <c r="AH13" s="167"/>
      <c r="AI13" s="183"/>
      <c r="AJ13" s="183" t="s">
        <v>392</v>
      </c>
      <c r="AK13" s="183"/>
      <c r="AL13" s="167"/>
      <c r="AM13" s="167"/>
      <c r="AN13" s="167"/>
      <c r="AO13" s="167"/>
      <c r="AP13" s="167"/>
      <c r="AQ13" s="167"/>
      <c r="AR13" s="167"/>
      <c r="AS13" s="167"/>
      <c r="AT13" s="167"/>
      <c r="AU13" s="167"/>
      <c r="AV13" s="167"/>
      <c r="AW13" s="167"/>
      <c r="AX13" s="167"/>
      <c r="AY13" s="167"/>
      <c r="AZ13" s="183"/>
      <c r="BA13" s="183" t="e" cm="1" vm="2">
        <f t="array" ref="BA13">_xlfn._xlws.FILTER($AL$7:$AY$7,AL13:AY13= "V")</f>
        <v>#VALUE!</v>
      </c>
      <c r="BB13" s="163"/>
      <c r="BC13" s="163"/>
      <c r="BD13" s="83"/>
      <c r="BE13" s="166"/>
      <c r="BF13" s="166" t="e" cm="1" vm="2">
        <f t="array" ref="BF13">_xlfn._xlws.FILTER($Y$7:$AH$7,Y13:AH13= "V")</f>
        <v>#VALUE!</v>
      </c>
      <c r="BG13" s="83"/>
      <c r="BH13" s="83"/>
      <c r="BI13" s="83"/>
      <c r="BJ13" s="83"/>
      <c r="BK13" s="83"/>
      <c r="BL13" s="83"/>
      <c r="BM13" s="83"/>
      <c r="BN13" s="83"/>
      <c r="BO13" s="83"/>
      <c r="BP13" s="83"/>
      <c r="BQ13" s="83"/>
      <c r="BR13" s="83"/>
      <c r="BS13" s="83"/>
      <c r="BT13" s="83"/>
    </row>
    <row r="14" spans="1:72" s="86" customFormat="1" ht="16" customHeight="1">
      <c r="A14" s="309"/>
      <c r="B14" s="309"/>
      <c r="C14" s="309"/>
      <c r="D14" s="309"/>
      <c r="E14" s="310" t="str">
        <f t="shared" si="0"/>
        <v/>
      </c>
      <c r="F14" s="310"/>
      <c r="G14" s="310"/>
      <c r="H14" s="310"/>
      <c r="I14" s="310"/>
      <c r="J14" s="310"/>
      <c r="K14" s="310"/>
      <c r="L14" s="310"/>
      <c r="M14" s="310"/>
      <c r="N14" s="310"/>
      <c r="O14" s="310"/>
      <c r="P14" s="310"/>
      <c r="Q14" s="310"/>
      <c r="R14" s="309"/>
      <c r="S14" s="309"/>
      <c r="T14" s="309"/>
      <c r="U14" s="309"/>
      <c r="V14" s="107"/>
      <c r="W14" s="83" t="e" vm="1">
        <f t="shared" si="1"/>
        <v>#VALUE!</v>
      </c>
      <c r="X14" s="83"/>
      <c r="Y14" s="167"/>
      <c r="Z14" s="167"/>
      <c r="AA14" s="167"/>
      <c r="AB14" s="168"/>
      <c r="AC14" s="167"/>
      <c r="AD14" s="167"/>
      <c r="AE14" s="167"/>
      <c r="AF14" s="167"/>
      <c r="AG14" s="167"/>
      <c r="AH14" s="167"/>
      <c r="AI14" s="183"/>
      <c r="AJ14" s="183" t="s">
        <v>392</v>
      </c>
      <c r="AK14" s="183"/>
      <c r="AL14" s="167"/>
      <c r="AM14" s="167"/>
      <c r="AN14" s="167"/>
      <c r="AO14" s="167"/>
      <c r="AP14" s="167"/>
      <c r="AQ14" s="167"/>
      <c r="AR14" s="167"/>
      <c r="AS14" s="167"/>
      <c r="AT14" s="167"/>
      <c r="AU14" s="167"/>
      <c r="AV14" s="167"/>
      <c r="AW14" s="167"/>
      <c r="AX14" s="167"/>
      <c r="AY14" s="167"/>
      <c r="AZ14" s="183"/>
      <c r="BA14" s="183" t="e" cm="1" vm="2">
        <f t="array" ref="BA14">_xlfn._xlws.FILTER($AL$7:$AY$7,AL14:AY14= "V")</f>
        <v>#VALUE!</v>
      </c>
      <c r="BB14" s="163"/>
      <c r="BC14" s="163"/>
      <c r="BD14" s="83"/>
      <c r="BE14" s="166"/>
      <c r="BF14" s="166" t="e" cm="1" vm="2">
        <f t="array" ref="BF14">_xlfn._xlws.FILTER($Y$7:$AH$7,Y14:AH14= "V")</f>
        <v>#VALUE!</v>
      </c>
      <c r="BG14" s="83"/>
      <c r="BH14" s="83"/>
      <c r="BI14" s="83"/>
      <c r="BJ14" s="83"/>
      <c r="BK14" s="83"/>
      <c r="BL14" s="83"/>
      <c r="BM14" s="83"/>
      <c r="BN14" s="83"/>
      <c r="BO14" s="83"/>
      <c r="BP14" s="83"/>
      <c r="BQ14" s="83"/>
      <c r="BR14" s="83"/>
      <c r="BS14" s="83"/>
      <c r="BT14" s="83"/>
    </row>
    <row r="15" spans="1:72" s="86" customFormat="1" ht="16" customHeight="1">
      <c r="A15" s="309"/>
      <c r="B15" s="309"/>
      <c r="C15" s="309"/>
      <c r="D15" s="309"/>
      <c r="E15" s="310" t="str">
        <f t="shared" si="0"/>
        <v/>
      </c>
      <c r="F15" s="310"/>
      <c r="G15" s="310"/>
      <c r="H15" s="310"/>
      <c r="I15" s="310"/>
      <c r="J15" s="310"/>
      <c r="K15" s="310"/>
      <c r="L15" s="310"/>
      <c r="M15" s="310"/>
      <c r="N15" s="310"/>
      <c r="O15" s="310"/>
      <c r="P15" s="310"/>
      <c r="Q15" s="310"/>
      <c r="R15" s="309"/>
      <c r="S15" s="309"/>
      <c r="T15" s="309"/>
      <c r="U15" s="309"/>
      <c r="V15" s="107"/>
      <c r="W15" s="83" t="e" vm="1">
        <f t="shared" si="1"/>
        <v>#VALUE!</v>
      </c>
      <c r="X15" s="83"/>
      <c r="Y15" s="167"/>
      <c r="Z15" s="167"/>
      <c r="AA15" s="167"/>
      <c r="AB15" s="168"/>
      <c r="AC15" s="167"/>
      <c r="AD15" s="167"/>
      <c r="AE15" s="167"/>
      <c r="AF15" s="167"/>
      <c r="AG15" s="167"/>
      <c r="AH15" s="167"/>
      <c r="AI15" s="183"/>
      <c r="AJ15" s="183" t="s">
        <v>392</v>
      </c>
      <c r="AK15" s="183"/>
      <c r="AL15" s="167"/>
      <c r="AM15" s="167"/>
      <c r="AN15" s="167"/>
      <c r="AO15" s="167"/>
      <c r="AP15" s="167"/>
      <c r="AQ15" s="167"/>
      <c r="AR15" s="167"/>
      <c r="AS15" s="167"/>
      <c r="AT15" s="167"/>
      <c r="AU15" s="167"/>
      <c r="AV15" s="167"/>
      <c r="AW15" s="167"/>
      <c r="AX15" s="167"/>
      <c r="AY15" s="167"/>
      <c r="AZ15" s="183"/>
      <c r="BA15" s="183" t="e" cm="1" vm="2">
        <f t="array" ref="BA15">_xlfn._xlws.FILTER($AL$7:$AY$7,AL15:AY15= "V")</f>
        <v>#VALUE!</v>
      </c>
      <c r="BB15" s="163"/>
      <c r="BC15" s="163"/>
      <c r="BD15" s="83"/>
      <c r="BE15" s="166"/>
      <c r="BF15" s="166" t="e" cm="1" vm="2">
        <f t="array" ref="BF15">_xlfn._xlws.FILTER($Y$7:$AH$7,Y15:AH15= "V")</f>
        <v>#VALUE!</v>
      </c>
      <c r="BG15" s="83"/>
      <c r="BH15" s="83"/>
      <c r="BI15" s="83"/>
      <c r="BJ15" s="83"/>
      <c r="BK15" s="83"/>
      <c r="BL15" s="83"/>
      <c r="BM15" s="83"/>
      <c r="BN15" s="83"/>
      <c r="BO15" s="83"/>
      <c r="BP15" s="83"/>
      <c r="BQ15" s="83"/>
      <c r="BR15" s="83"/>
      <c r="BS15" s="83"/>
      <c r="BT15" s="83"/>
    </row>
    <row r="16" spans="1:72" s="86" customFormat="1" ht="16" customHeight="1">
      <c r="A16" s="309"/>
      <c r="B16" s="309"/>
      <c r="C16" s="309"/>
      <c r="D16" s="309"/>
      <c r="E16" s="310" t="str">
        <f t="shared" si="0"/>
        <v/>
      </c>
      <c r="F16" s="310"/>
      <c r="G16" s="310"/>
      <c r="H16" s="310"/>
      <c r="I16" s="310"/>
      <c r="J16" s="310"/>
      <c r="K16" s="310"/>
      <c r="L16" s="310"/>
      <c r="M16" s="310"/>
      <c r="N16" s="310"/>
      <c r="O16" s="310"/>
      <c r="P16" s="310"/>
      <c r="Q16" s="310"/>
      <c r="R16" s="309"/>
      <c r="S16" s="309"/>
      <c r="T16" s="309"/>
      <c r="U16" s="309"/>
      <c r="V16" s="107"/>
      <c r="W16" s="83" t="e" vm="1">
        <f t="shared" si="1"/>
        <v>#VALUE!</v>
      </c>
      <c r="X16" s="83"/>
      <c r="Y16" s="167"/>
      <c r="Z16" s="167"/>
      <c r="AA16" s="167"/>
      <c r="AB16" s="168"/>
      <c r="AC16" s="167"/>
      <c r="AD16" s="167"/>
      <c r="AE16" s="167"/>
      <c r="AF16" s="167"/>
      <c r="AG16" s="167"/>
      <c r="AH16" s="167"/>
      <c r="AI16" s="183"/>
      <c r="AJ16" s="183" t="s">
        <v>392</v>
      </c>
      <c r="AK16" s="183"/>
      <c r="AL16" s="167"/>
      <c r="AM16" s="167"/>
      <c r="AN16" s="167"/>
      <c r="AO16" s="167"/>
      <c r="AP16" s="167"/>
      <c r="AQ16" s="167"/>
      <c r="AR16" s="167"/>
      <c r="AS16" s="167"/>
      <c r="AT16" s="167"/>
      <c r="AU16" s="167"/>
      <c r="AV16" s="167"/>
      <c r="AW16" s="167"/>
      <c r="AX16" s="167"/>
      <c r="AY16" s="167"/>
      <c r="AZ16" s="183"/>
      <c r="BA16" s="183" t="e" cm="1" vm="2">
        <f t="array" ref="BA16">_xlfn._xlws.FILTER($AL$7:$AY$7,AL16:AY16= "V")</f>
        <v>#VALUE!</v>
      </c>
      <c r="BB16" s="163"/>
      <c r="BC16" s="163"/>
      <c r="BD16" s="83"/>
      <c r="BE16" s="166"/>
      <c r="BF16" s="166" t="e" cm="1" vm="2">
        <f t="array" ref="BF16">_xlfn._xlws.FILTER($Y$7:$AH$7,Y16:AH16= "V")</f>
        <v>#VALUE!</v>
      </c>
      <c r="BG16" s="83"/>
      <c r="BH16" s="83"/>
      <c r="BI16" s="83"/>
      <c r="BJ16" s="83"/>
      <c r="BK16" s="83"/>
      <c r="BL16" s="83"/>
      <c r="BM16" s="83"/>
      <c r="BN16" s="83"/>
      <c r="BO16" s="83"/>
      <c r="BP16" s="83"/>
      <c r="BQ16" s="83"/>
      <c r="BR16" s="83"/>
      <c r="BS16" s="83"/>
      <c r="BT16" s="83"/>
    </row>
    <row r="17" spans="1:72" s="86" customFormat="1" ht="16" customHeight="1">
      <c r="A17" s="309"/>
      <c r="B17" s="309"/>
      <c r="C17" s="309"/>
      <c r="D17" s="309"/>
      <c r="E17" s="310" t="str">
        <f t="shared" si="0"/>
        <v/>
      </c>
      <c r="F17" s="310"/>
      <c r="G17" s="310"/>
      <c r="H17" s="310"/>
      <c r="I17" s="310"/>
      <c r="J17" s="310"/>
      <c r="K17" s="310"/>
      <c r="L17" s="310"/>
      <c r="M17" s="310"/>
      <c r="N17" s="310"/>
      <c r="O17" s="310"/>
      <c r="P17" s="310"/>
      <c r="Q17" s="310"/>
      <c r="R17" s="309"/>
      <c r="S17" s="309"/>
      <c r="T17" s="309"/>
      <c r="U17" s="309"/>
      <c r="V17" s="107"/>
      <c r="W17" s="83" t="e" vm="1">
        <f t="shared" si="1"/>
        <v>#VALUE!</v>
      </c>
      <c r="X17" s="83"/>
      <c r="Y17" s="167"/>
      <c r="Z17" s="167"/>
      <c r="AA17" s="167"/>
      <c r="AB17" s="168"/>
      <c r="AC17" s="167"/>
      <c r="AD17" s="167"/>
      <c r="AE17" s="167"/>
      <c r="AF17" s="167"/>
      <c r="AG17" s="167"/>
      <c r="AH17" s="167"/>
      <c r="AI17" s="183"/>
      <c r="AJ17" s="183" t="s">
        <v>392</v>
      </c>
      <c r="AK17" s="183"/>
      <c r="AL17" s="167"/>
      <c r="AM17" s="167"/>
      <c r="AN17" s="167"/>
      <c r="AO17" s="167"/>
      <c r="AP17" s="167"/>
      <c r="AQ17" s="167"/>
      <c r="AR17" s="167"/>
      <c r="AS17" s="167"/>
      <c r="AT17" s="167"/>
      <c r="AU17" s="167"/>
      <c r="AV17" s="167"/>
      <c r="AW17" s="167"/>
      <c r="AX17" s="167"/>
      <c r="AY17" s="167"/>
      <c r="AZ17" s="183"/>
      <c r="BA17" s="183" t="e" cm="1" vm="2">
        <f t="array" ref="BA17">_xlfn._xlws.FILTER($AL$7:$AY$7,AL17:AY17= "V")</f>
        <v>#VALUE!</v>
      </c>
      <c r="BB17" s="163"/>
      <c r="BC17" s="163"/>
      <c r="BD17" s="83"/>
      <c r="BE17" s="166"/>
      <c r="BF17" s="166" t="e" cm="1" vm="2">
        <f t="array" ref="BF17">_xlfn._xlws.FILTER($Y$7:$AH$7,Y17:AH17= "V")</f>
        <v>#VALUE!</v>
      </c>
      <c r="BG17" s="83"/>
      <c r="BH17" s="83"/>
      <c r="BI17" s="83"/>
      <c r="BJ17" s="83"/>
      <c r="BK17" s="83"/>
      <c r="BL17" s="83"/>
      <c r="BM17" s="83"/>
      <c r="BN17" s="83"/>
      <c r="BO17" s="83"/>
      <c r="BP17" s="83"/>
      <c r="BQ17" s="83"/>
      <c r="BR17" s="83"/>
      <c r="BS17" s="83"/>
      <c r="BT17" s="83"/>
    </row>
    <row r="18" spans="1:72" s="86" customFormat="1" ht="16" customHeight="1">
      <c r="A18" s="309"/>
      <c r="B18" s="309"/>
      <c r="C18" s="309"/>
      <c r="D18" s="309"/>
      <c r="E18" s="310" t="str">
        <f t="shared" si="0"/>
        <v/>
      </c>
      <c r="F18" s="310"/>
      <c r="G18" s="310"/>
      <c r="H18" s="310"/>
      <c r="I18" s="310"/>
      <c r="J18" s="310"/>
      <c r="K18" s="310"/>
      <c r="L18" s="310"/>
      <c r="M18" s="310"/>
      <c r="N18" s="310"/>
      <c r="O18" s="310"/>
      <c r="P18" s="310"/>
      <c r="Q18" s="310"/>
      <c r="R18" s="309"/>
      <c r="S18" s="309"/>
      <c r="T18" s="309"/>
      <c r="U18" s="309"/>
      <c r="V18" s="107"/>
      <c r="W18" s="83" t="e" vm="1">
        <f t="shared" si="1"/>
        <v>#VALUE!</v>
      </c>
      <c r="X18" s="83"/>
      <c r="Y18" s="167"/>
      <c r="Z18" s="167"/>
      <c r="AA18" s="167"/>
      <c r="AB18" s="168"/>
      <c r="AC18" s="167"/>
      <c r="AD18" s="167"/>
      <c r="AE18" s="167"/>
      <c r="AF18" s="167"/>
      <c r="AG18" s="167"/>
      <c r="AH18" s="167"/>
      <c r="AI18" s="183"/>
      <c r="AJ18" s="183" t="s">
        <v>392</v>
      </c>
      <c r="AK18" s="183"/>
      <c r="AL18" s="167"/>
      <c r="AM18" s="167"/>
      <c r="AN18" s="167"/>
      <c r="AO18" s="167"/>
      <c r="AP18" s="167"/>
      <c r="AQ18" s="167"/>
      <c r="AR18" s="167"/>
      <c r="AS18" s="167"/>
      <c r="AT18" s="167"/>
      <c r="AU18" s="167"/>
      <c r="AV18" s="167"/>
      <c r="AW18" s="167"/>
      <c r="AX18" s="167"/>
      <c r="AY18" s="167"/>
      <c r="AZ18" s="183"/>
      <c r="BA18" s="183" t="e" cm="1" vm="2">
        <f t="array" ref="BA18">_xlfn._xlws.FILTER($AL$7:$AY$7,AL18:AY18= "V")</f>
        <v>#VALUE!</v>
      </c>
      <c r="BB18" s="163"/>
      <c r="BC18" s="163"/>
      <c r="BD18" s="83"/>
      <c r="BE18" s="166"/>
      <c r="BF18" s="166" t="e" cm="1" vm="2">
        <f t="array" ref="BF18">_xlfn._xlws.FILTER($Y$7:$AH$7,Y18:AH18= "V")</f>
        <v>#VALUE!</v>
      </c>
      <c r="BG18" s="83"/>
      <c r="BH18" s="83"/>
      <c r="BI18" s="83"/>
      <c r="BJ18" s="83"/>
      <c r="BK18" s="83"/>
      <c r="BL18" s="83"/>
      <c r="BM18" s="83"/>
      <c r="BN18" s="83"/>
      <c r="BO18" s="83"/>
      <c r="BP18" s="83"/>
      <c r="BQ18" s="83"/>
      <c r="BR18" s="83"/>
      <c r="BS18" s="83"/>
      <c r="BT18" s="83"/>
    </row>
    <row r="19" spans="1:72" s="86" customFormat="1" ht="16" customHeight="1">
      <c r="A19" s="309"/>
      <c r="B19" s="309"/>
      <c r="C19" s="309"/>
      <c r="D19" s="309"/>
      <c r="E19" s="310" t="str">
        <f t="shared" si="0"/>
        <v/>
      </c>
      <c r="F19" s="310"/>
      <c r="G19" s="310"/>
      <c r="H19" s="310"/>
      <c r="I19" s="310"/>
      <c r="J19" s="310"/>
      <c r="K19" s="310"/>
      <c r="L19" s="310"/>
      <c r="M19" s="310"/>
      <c r="N19" s="310"/>
      <c r="O19" s="310"/>
      <c r="P19" s="310"/>
      <c r="Q19" s="310"/>
      <c r="R19" s="309"/>
      <c r="S19" s="309"/>
      <c r="T19" s="309"/>
      <c r="U19" s="309"/>
      <c r="V19" s="107"/>
      <c r="W19" s="83" t="e" vm="1">
        <f t="shared" si="1"/>
        <v>#VALUE!</v>
      </c>
      <c r="X19" s="83"/>
      <c r="Y19" s="167"/>
      <c r="Z19" s="167"/>
      <c r="AA19" s="167"/>
      <c r="AB19" s="168"/>
      <c r="AC19" s="167"/>
      <c r="AD19" s="167"/>
      <c r="AE19" s="167"/>
      <c r="AF19" s="167"/>
      <c r="AG19" s="167"/>
      <c r="AH19" s="167"/>
      <c r="AI19" s="183"/>
      <c r="AJ19" s="183" t="s">
        <v>392</v>
      </c>
      <c r="AK19" s="183"/>
      <c r="AL19" s="167"/>
      <c r="AM19" s="167"/>
      <c r="AN19" s="167"/>
      <c r="AO19" s="167"/>
      <c r="AP19" s="167"/>
      <c r="AQ19" s="167"/>
      <c r="AR19" s="167"/>
      <c r="AS19" s="167"/>
      <c r="AT19" s="167"/>
      <c r="AU19" s="167"/>
      <c r="AV19" s="167"/>
      <c r="AW19" s="167"/>
      <c r="AX19" s="167"/>
      <c r="AY19" s="167"/>
      <c r="AZ19" s="183"/>
      <c r="BA19" s="183" t="e" cm="1" vm="2">
        <f t="array" ref="BA19">_xlfn._xlws.FILTER($AL$7:$AY$7,AL19:AY19= "V")</f>
        <v>#VALUE!</v>
      </c>
      <c r="BB19" s="163"/>
      <c r="BC19" s="163"/>
      <c r="BD19" s="83"/>
      <c r="BE19" s="166"/>
      <c r="BF19" s="166" t="e" cm="1" vm="2">
        <f t="array" ref="BF19">_xlfn._xlws.FILTER($Y$7:$AH$7,Y19:AH19= "V")</f>
        <v>#VALUE!</v>
      </c>
      <c r="BG19" s="83"/>
      <c r="BH19" s="83"/>
      <c r="BI19" s="83"/>
      <c r="BJ19" s="83"/>
      <c r="BK19" s="83"/>
      <c r="BL19" s="83"/>
      <c r="BM19" s="83"/>
      <c r="BN19" s="83"/>
      <c r="BO19" s="83"/>
      <c r="BP19" s="83"/>
      <c r="BQ19" s="83"/>
      <c r="BR19" s="83"/>
      <c r="BS19" s="83"/>
      <c r="BT19" s="83"/>
    </row>
    <row r="20" spans="1:72" s="86" customFormat="1" ht="16" customHeight="1">
      <c r="A20" s="309"/>
      <c r="B20" s="309"/>
      <c r="C20" s="309"/>
      <c r="D20" s="309"/>
      <c r="E20" s="310" t="str">
        <f t="shared" si="0"/>
        <v/>
      </c>
      <c r="F20" s="310"/>
      <c r="G20" s="310"/>
      <c r="H20" s="310"/>
      <c r="I20" s="310"/>
      <c r="J20" s="310"/>
      <c r="K20" s="310"/>
      <c r="L20" s="310"/>
      <c r="M20" s="310"/>
      <c r="N20" s="310"/>
      <c r="O20" s="310"/>
      <c r="P20" s="310"/>
      <c r="Q20" s="310"/>
      <c r="R20" s="309"/>
      <c r="S20" s="309"/>
      <c r="T20" s="309"/>
      <c r="U20" s="309"/>
      <c r="V20" s="107"/>
      <c r="W20" s="83" t="e" vm="1">
        <f t="shared" si="1"/>
        <v>#VALUE!</v>
      </c>
      <c r="X20" s="83"/>
      <c r="Y20" s="167"/>
      <c r="Z20" s="167"/>
      <c r="AA20" s="167"/>
      <c r="AB20" s="168"/>
      <c r="AC20" s="167"/>
      <c r="AD20" s="167"/>
      <c r="AE20" s="167"/>
      <c r="AF20" s="167"/>
      <c r="AG20" s="167"/>
      <c r="AH20" s="167"/>
      <c r="AI20" s="183"/>
      <c r="AJ20" s="183" t="s">
        <v>392</v>
      </c>
      <c r="AK20" s="183"/>
      <c r="AL20" s="167"/>
      <c r="AM20" s="167"/>
      <c r="AN20" s="167"/>
      <c r="AO20" s="167"/>
      <c r="AP20" s="167"/>
      <c r="AQ20" s="167"/>
      <c r="AR20" s="167"/>
      <c r="AS20" s="167"/>
      <c r="AT20" s="167"/>
      <c r="AU20" s="167"/>
      <c r="AV20" s="167"/>
      <c r="AW20" s="167"/>
      <c r="AX20" s="167"/>
      <c r="AY20" s="167"/>
      <c r="AZ20" s="183"/>
      <c r="BA20" s="183" t="e" cm="1" vm="2">
        <f t="array" ref="BA20">_xlfn._xlws.FILTER($AL$7:$AY$7,AL20:AY20= "V")</f>
        <v>#VALUE!</v>
      </c>
      <c r="BB20" s="163"/>
      <c r="BC20" s="163"/>
      <c r="BD20" s="83"/>
      <c r="BE20" s="166"/>
      <c r="BF20" s="166" t="e" cm="1" vm="2">
        <f t="array" ref="BF20">_xlfn._xlws.FILTER($Y$7:$AH$7,Y20:AH20= "V")</f>
        <v>#VALUE!</v>
      </c>
      <c r="BG20" s="83"/>
      <c r="BH20" s="83"/>
      <c r="BI20" s="83"/>
      <c r="BJ20" s="83"/>
      <c r="BK20" s="83"/>
      <c r="BL20" s="83"/>
      <c r="BM20" s="83"/>
      <c r="BN20" s="83"/>
      <c r="BO20" s="83"/>
      <c r="BP20" s="83"/>
      <c r="BQ20" s="83"/>
      <c r="BR20" s="83"/>
      <c r="BS20" s="83"/>
      <c r="BT20" s="83"/>
    </row>
    <row r="21" spans="1:72" s="86" customFormat="1" ht="16" customHeight="1">
      <c r="A21" s="309"/>
      <c r="B21" s="309"/>
      <c r="C21" s="309"/>
      <c r="D21" s="309"/>
      <c r="E21" s="310" t="str">
        <f t="shared" si="0"/>
        <v/>
      </c>
      <c r="F21" s="310"/>
      <c r="G21" s="310"/>
      <c r="H21" s="310"/>
      <c r="I21" s="310"/>
      <c r="J21" s="310"/>
      <c r="K21" s="310"/>
      <c r="L21" s="310"/>
      <c r="M21" s="310"/>
      <c r="N21" s="310"/>
      <c r="O21" s="310"/>
      <c r="P21" s="310"/>
      <c r="Q21" s="310"/>
      <c r="R21" s="309"/>
      <c r="S21" s="309"/>
      <c r="T21" s="309"/>
      <c r="U21" s="309"/>
      <c r="V21" s="107"/>
      <c r="W21" s="83" t="e" vm="1">
        <f t="shared" si="1"/>
        <v>#VALUE!</v>
      </c>
      <c r="X21" s="83"/>
      <c r="Y21" s="167"/>
      <c r="Z21" s="167"/>
      <c r="AA21" s="167"/>
      <c r="AB21" s="168"/>
      <c r="AC21" s="167"/>
      <c r="AD21" s="167"/>
      <c r="AE21" s="167"/>
      <c r="AF21" s="167"/>
      <c r="AG21" s="167"/>
      <c r="AH21" s="167"/>
      <c r="AI21" s="183"/>
      <c r="AJ21" s="183" t="s">
        <v>392</v>
      </c>
      <c r="AK21" s="183"/>
      <c r="AL21" s="167"/>
      <c r="AM21" s="167"/>
      <c r="AN21" s="167"/>
      <c r="AO21" s="167"/>
      <c r="AP21" s="167"/>
      <c r="AQ21" s="167"/>
      <c r="AR21" s="167"/>
      <c r="AS21" s="167"/>
      <c r="AT21" s="167"/>
      <c r="AU21" s="167"/>
      <c r="AV21" s="167"/>
      <c r="AW21" s="167"/>
      <c r="AX21" s="167"/>
      <c r="AY21" s="167"/>
      <c r="AZ21" s="183"/>
      <c r="BA21" s="183" t="e" cm="1" vm="2">
        <f t="array" ref="BA21">_xlfn._xlws.FILTER($AL$7:$AY$7,AL21:AY21= "V")</f>
        <v>#VALUE!</v>
      </c>
      <c r="BB21" s="163"/>
      <c r="BC21" s="163"/>
      <c r="BD21" s="83"/>
      <c r="BE21" s="166"/>
      <c r="BF21" s="166" t="e" cm="1" vm="2">
        <f t="array" ref="BF21">_xlfn._xlws.FILTER($Y$7:$AH$7,Y21:AH21= "V")</f>
        <v>#VALUE!</v>
      </c>
      <c r="BG21" s="83"/>
      <c r="BH21" s="83"/>
      <c r="BI21" s="83"/>
      <c r="BJ21" s="83"/>
      <c r="BK21" s="83"/>
      <c r="BL21" s="83"/>
      <c r="BM21" s="83"/>
      <c r="BN21" s="83"/>
      <c r="BO21" s="83"/>
      <c r="BP21" s="83"/>
      <c r="BQ21" s="83"/>
      <c r="BR21" s="83"/>
      <c r="BS21" s="83"/>
      <c r="BT21" s="83"/>
    </row>
    <row r="22" spans="1:72" s="86" customFormat="1" ht="16" customHeight="1">
      <c r="A22" s="309"/>
      <c r="B22" s="309"/>
      <c r="C22" s="309"/>
      <c r="D22" s="309"/>
      <c r="E22" s="310" t="str">
        <f t="shared" si="0"/>
        <v/>
      </c>
      <c r="F22" s="310"/>
      <c r="G22" s="310"/>
      <c r="H22" s="310"/>
      <c r="I22" s="310"/>
      <c r="J22" s="310"/>
      <c r="K22" s="310"/>
      <c r="L22" s="310"/>
      <c r="M22" s="310"/>
      <c r="N22" s="310"/>
      <c r="O22" s="310"/>
      <c r="P22" s="310"/>
      <c r="Q22" s="310"/>
      <c r="R22" s="309"/>
      <c r="S22" s="309"/>
      <c r="T22" s="309"/>
      <c r="U22" s="309"/>
      <c r="V22" s="107"/>
      <c r="W22" s="83" t="e" vm="1">
        <f t="shared" si="1"/>
        <v>#VALUE!</v>
      </c>
      <c r="X22" s="83"/>
      <c r="Y22" s="167"/>
      <c r="Z22" s="167"/>
      <c r="AA22" s="167"/>
      <c r="AB22" s="168"/>
      <c r="AC22" s="167"/>
      <c r="AD22" s="167"/>
      <c r="AE22" s="167"/>
      <c r="AF22" s="167"/>
      <c r="AG22" s="167"/>
      <c r="AH22" s="167"/>
      <c r="AI22" s="183"/>
      <c r="AJ22" s="183" t="s">
        <v>392</v>
      </c>
      <c r="AK22" s="183"/>
      <c r="AL22" s="167"/>
      <c r="AM22" s="167"/>
      <c r="AN22" s="167"/>
      <c r="AO22" s="167"/>
      <c r="AP22" s="167"/>
      <c r="AQ22" s="167"/>
      <c r="AR22" s="167"/>
      <c r="AS22" s="167"/>
      <c r="AT22" s="167"/>
      <c r="AU22" s="167"/>
      <c r="AV22" s="167"/>
      <c r="AW22" s="167"/>
      <c r="AX22" s="167"/>
      <c r="AY22" s="167"/>
      <c r="AZ22" s="183"/>
      <c r="BA22" s="183" t="e" cm="1" vm="2">
        <f t="array" ref="BA22">_xlfn._xlws.FILTER($AL$7:$AY$7,AL22:AY22= "V")</f>
        <v>#VALUE!</v>
      </c>
      <c r="BB22" s="163"/>
      <c r="BC22" s="163"/>
      <c r="BD22" s="83"/>
      <c r="BE22" s="166"/>
      <c r="BF22" s="166" t="e" cm="1" vm="2">
        <f t="array" ref="BF22">_xlfn._xlws.FILTER($Y$7:$AH$7,Y22:AH22= "V")</f>
        <v>#VALUE!</v>
      </c>
      <c r="BG22" s="83"/>
      <c r="BH22" s="83"/>
      <c r="BI22" s="83"/>
      <c r="BJ22" s="83"/>
      <c r="BK22" s="83"/>
      <c r="BL22" s="83"/>
      <c r="BM22" s="83"/>
      <c r="BN22" s="83"/>
      <c r="BO22" s="83"/>
      <c r="BP22" s="83"/>
      <c r="BQ22" s="83"/>
      <c r="BR22" s="83"/>
      <c r="BS22" s="83"/>
      <c r="BT22" s="83"/>
    </row>
    <row r="23" spans="1:72" s="86" customFormat="1" ht="16" customHeight="1">
      <c r="A23" s="309"/>
      <c r="B23" s="309"/>
      <c r="C23" s="309"/>
      <c r="D23" s="309"/>
      <c r="E23" s="310" t="str">
        <f t="shared" si="0"/>
        <v/>
      </c>
      <c r="F23" s="310"/>
      <c r="G23" s="310"/>
      <c r="H23" s="310"/>
      <c r="I23" s="310"/>
      <c r="J23" s="310"/>
      <c r="K23" s="310"/>
      <c r="L23" s="310"/>
      <c r="M23" s="310"/>
      <c r="N23" s="310"/>
      <c r="O23" s="310"/>
      <c r="P23" s="310"/>
      <c r="Q23" s="310"/>
      <c r="R23" s="309"/>
      <c r="S23" s="309"/>
      <c r="T23" s="309"/>
      <c r="U23" s="309"/>
      <c r="V23" s="107"/>
      <c r="W23" s="83" t="e" vm="1">
        <f t="shared" si="1"/>
        <v>#VALUE!</v>
      </c>
      <c r="X23" s="83"/>
      <c r="Y23" s="167"/>
      <c r="Z23" s="167"/>
      <c r="AA23" s="167"/>
      <c r="AB23" s="168"/>
      <c r="AC23" s="167"/>
      <c r="AD23" s="167"/>
      <c r="AE23" s="167"/>
      <c r="AF23" s="167"/>
      <c r="AG23" s="167"/>
      <c r="AH23" s="167"/>
      <c r="AI23" s="183"/>
      <c r="AJ23" s="183" t="s">
        <v>392</v>
      </c>
      <c r="AK23" s="183"/>
      <c r="AL23" s="167"/>
      <c r="AM23" s="167"/>
      <c r="AN23" s="167"/>
      <c r="AO23" s="167"/>
      <c r="AP23" s="167"/>
      <c r="AQ23" s="167"/>
      <c r="AR23" s="167"/>
      <c r="AS23" s="167"/>
      <c r="AT23" s="167"/>
      <c r="AU23" s="167"/>
      <c r="AV23" s="167"/>
      <c r="AW23" s="167"/>
      <c r="AX23" s="167"/>
      <c r="AY23" s="167"/>
      <c r="AZ23" s="183"/>
      <c r="BA23" s="183" t="e" cm="1" vm="2">
        <f t="array" ref="BA23">_xlfn._xlws.FILTER($AL$7:$AY$7,AL23:AY23= "V")</f>
        <v>#VALUE!</v>
      </c>
      <c r="BB23" s="163"/>
      <c r="BC23" s="163"/>
      <c r="BD23" s="83"/>
      <c r="BE23" s="166"/>
      <c r="BF23" s="166" t="e" cm="1" vm="2">
        <f t="array" ref="BF23">_xlfn._xlws.FILTER($Y$7:$AH$7,Y23:AH23= "V")</f>
        <v>#VALUE!</v>
      </c>
      <c r="BG23" s="83"/>
      <c r="BH23" s="83"/>
      <c r="BI23" s="83"/>
      <c r="BJ23" s="83"/>
      <c r="BK23" s="83"/>
      <c r="BL23" s="83"/>
      <c r="BM23" s="83"/>
      <c r="BN23" s="83"/>
      <c r="BO23" s="83"/>
      <c r="BP23" s="83"/>
      <c r="BQ23" s="83"/>
      <c r="BR23" s="83"/>
      <c r="BS23" s="83"/>
      <c r="BT23" s="83"/>
    </row>
    <row r="24" spans="1:72" s="86" customFormat="1" ht="16" customHeight="1">
      <c r="A24" s="309"/>
      <c r="B24" s="309"/>
      <c r="C24" s="309"/>
      <c r="D24" s="309"/>
      <c r="E24" s="310" t="str">
        <f t="shared" si="0"/>
        <v/>
      </c>
      <c r="F24" s="310"/>
      <c r="G24" s="310"/>
      <c r="H24" s="310"/>
      <c r="I24" s="310"/>
      <c r="J24" s="310"/>
      <c r="K24" s="310"/>
      <c r="L24" s="310"/>
      <c r="M24" s="310"/>
      <c r="N24" s="310"/>
      <c r="O24" s="310"/>
      <c r="P24" s="310"/>
      <c r="Q24" s="310"/>
      <c r="R24" s="309"/>
      <c r="S24" s="309"/>
      <c r="T24" s="309"/>
      <c r="U24" s="309"/>
      <c r="V24" s="107"/>
      <c r="W24" s="83" t="e" vm="1">
        <f t="shared" si="1"/>
        <v>#VALUE!</v>
      </c>
      <c r="X24" s="83"/>
      <c r="Y24" s="167"/>
      <c r="Z24" s="167"/>
      <c r="AA24" s="167"/>
      <c r="AB24" s="168"/>
      <c r="AC24" s="167"/>
      <c r="AD24" s="167"/>
      <c r="AE24" s="167"/>
      <c r="AF24" s="167"/>
      <c r="AG24" s="167"/>
      <c r="AH24" s="167"/>
      <c r="AI24" s="183"/>
      <c r="AJ24" s="183" t="s">
        <v>392</v>
      </c>
      <c r="AK24" s="183"/>
      <c r="AL24" s="167"/>
      <c r="AM24" s="167"/>
      <c r="AN24" s="167"/>
      <c r="AO24" s="167"/>
      <c r="AP24" s="167"/>
      <c r="AQ24" s="167"/>
      <c r="AR24" s="167"/>
      <c r="AS24" s="167"/>
      <c r="AT24" s="167"/>
      <c r="AU24" s="167"/>
      <c r="AV24" s="167"/>
      <c r="AW24" s="167"/>
      <c r="AX24" s="167"/>
      <c r="AY24" s="167"/>
      <c r="AZ24" s="183"/>
      <c r="BA24" s="183" t="e" cm="1" vm="2">
        <f t="array" ref="BA24">_xlfn._xlws.FILTER($AL$7:$AY$7,AL24:AY24= "V")</f>
        <v>#VALUE!</v>
      </c>
      <c r="BB24" s="163"/>
      <c r="BC24" s="163"/>
      <c r="BD24" s="83"/>
      <c r="BE24" s="166"/>
      <c r="BF24" s="166" t="e" cm="1" vm="2">
        <f t="array" ref="BF24">_xlfn._xlws.FILTER($Y$7:$AH$7,Y24:AH24= "V")</f>
        <v>#VALUE!</v>
      </c>
      <c r="BG24" s="83"/>
      <c r="BH24" s="83"/>
      <c r="BI24" s="83"/>
      <c r="BJ24" s="83"/>
      <c r="BK24" s="83"/>
      <c r="BL24" s="83"/>
      <c r="BM24" s="83"/>
      <c r="BN24" s="83"/>
      <c r="BO24" s="83"/>
      <c r="BP24" s="83"/>
      <c r="BQ24" s="83"/>
      <c r="BR24" s="83"/>
      <c r="BS24" s="83"/>
      <c r="BT24" s="83"/>
    </row>
    <row r="25" spans="1:72" s="86" customFormat="1" ht="16" customHeight="1">
      <c r="A25" s="98"/>
      <c r="B25" s="98"/>
      <c r="C25" s="98"/>
      <c r="D25" s="98"/>
      <c r="E25" s="98"/>
      <c r="F25" s="98"/>
      <c r="G25" s="98"/>
      <c r="H25" s="98"/>
      <c r="I25" s="98"/>
      <c r="J25" s="98"/>
      <c r="K25" s="98"/>
      <c r="L25" s="98"/>
      <c r="M25" s="98"/>
      <c r="N25" s="98"/>
      <c r="O25" s="98"/>
      <c r="P25" s="98"/>
      <c r="Q25" s="98"/>
      <c r="R25" s="98"/>
      <c r="S25" s="98"/>
      <c r="T25" s="98"/>
      <c r="U25" s="98"/>
      <c r="V25" s="98"/>
      <c r="W25" s="98"/>
      <c r="X25" s="83"/>
      <c r="Y25" s="163"/>
      <c r="Z25" s="163"/>
      <c r="AA25" s="163"/>
      <c r="AB25" s="163"/>
      <c r="AC25" s="163"/>
      <c r="AD25" s="163"/>
      <c r="AE25" s="163"/>
      <c r="AF25" s="163"/>
      <c r="AG25" s="163"/>
      <c r="AH25" s="163"/>
      <c r="AI25" s="83"/>
      <c r="AJ25" s="83"/>
      <c r="AK25" s="83"/>
      <c r="AL25" s="163"/>
      <c r="AM25" s="163"/>
      <c r="AN25" s="163"/>
      <c r="AO25" s="163"/>
      <c r="AP25" s="163"/>
      <c r="AQ25" s="163"/>
      <c r="AR25" s="163"/>
      <c r="AS25" s="163"/>
      <c r="AT25" s="16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row>
    <row r="26" spans="1:72" s="86" customFormat="1" ht="16" customHeight="1">
      <c r="A26" s="98"/>
      <c r="B26" s="98"/>
      <c r="C26" s="98"/>
      <c r="D26" s="98"/>
      <c r="E26" s="98"/>
      <c r="F26" s="98"/>
      <c r="G26" s="98"/>
      <c r="H26" s="98"/>
      <c r="I26" s="98"/>
      <c r="J26" s="98"/>
      <c r="K26" s="98"/>
      <c r="L26" s="98"/>
      <c r="M26" s="98"/>
      <c r="N26" s="98"/>
      <c r="O26" s="98"/>
      <c r="P26" s="98"/>
      <c r="Q26" s="98"/>
      <c r="R26" s="98"/>
      <c r="S26" s="98"/>
      <c r="T26" s="98"/>
      <c r="U26" s="98"/>
      <c r="V26" s="98"/>
      <c r="W26" s="98"/>
      <c r="X26" s="83"/>
      <c r="Y26" s="163"/>
      <c r="Z26" s="163"/>
      <c r="AA26" s="163"/>
      <c r="AB26" s="163"/>
      <c r="AC26" s="163"/>
      <c r="AD26" s="163"/>
      <c r="AE26" s="163"/>
      <c r="AF26" s="163"/>
      <c r="AG26" s="163"/>
      <c r="AH26" s="163"/>
      <c r="AI26" s="83"/>
      <c r="AJ26" s="83"/>
      <c r="AK26" s="83"/>
      <c r="AL26" s="163"/>
      <c r="AM26" s="163"/>
      <c r="AN26" s="163"/>
      <c r="AO26" s="163"/>
      <c r="AP26" s="163"/>
      <c r="AQ26" s="163"/>
      <c r="AR26" s="163"/>
      <c r="AS26" s="163"/>
      <c r="AT26" s="163"/>
      <c r="AU26" s="163"/>
      <c r="AV26" s="163"/>
      <c r="AW26" s="163"/>
      <c r="AX26" s="163"/>
      <c r="AY26" s="163"/>
      <c r="AZ26" s="163"/>
      <c r="BA26" s="163"/>
      <c r="BB26" s="163"/>
      <c r="BC26" s="82"/>
      <c r="BD26" s="82"/>
      <c r="BE26" s="82"/>
      <c r="BF26" s="88"/>
      <c r="BG26" s="88"/>
      <c r="BH26" s="88"/>
      <c r="BI26" s="88"/>
      <c r="BJ26" s="88"/>
      <c r="BK26" s="88"/>
      <c r="BL26" s="88"/>
      <c r="BM26" s="88"/>
      <c r="BN26" s="88"/>
      <c r="BO26" s="88"/>
      <c r="BP26" s="88"/>
      <c r="BQ26" s="88"/>
      <c r="BR26" s="88"/>
      <c r="BS26" s="88"/>
      <c r="BT26" s="88"/>
    </row>
    <row r="27" spans="1:72" s="86" customFormat="1" ht="16" customHeight="1">
      <c r="A27" s="98" t="s">
        <v>273</v>
      </c>
      <c r="B27" s="98"/>
      <c r="C27" s="98"/>
      <c r="D27" s="98"/>
      <c r="E27" s="308" t="s">
        <v>306</v>
      </c>
      <c r="F27" s="308"/>
      <c r="G27" s="308"/>
      <c r="H27" s="308"/>
      <c r="I27" s="308"/>
      <c r="J27" s="308"/>
      <c r="K27" s="308"/>
      <c r="L27" s="308"/>
      <c r="M27" s="308"/>
      <c r="N27" s="308"/>
      <c r="O27" s="308"/>
      <c r="P27" s="308"/>
      <c r="Q27" s="308"/>
      <c r="R27" s="308"/>
      <c r="S27" s="308"/>
      <c r="T27" s="308"/>
      <c r="U27" s="98"/>
      <c r="V27" s="98"/>
      <c r="W27" s="98"/>
      <c r="X27" s="83"/>
      <c r="Y27" s="163"/>
      <c r="Z27" s="163"/>
      <c r="AA27" s="163"/>
      <c r="AB27" s="163"/>
      <c r="AC27" s="163"/>
      <c r="AD27" s="163"/>
      <c r="AE27" s="163"/>
      <c r="AF27" s="163"/>
      <c r="AG27" s="163"/>
      <c r="AH27" s="163"/>
      <c r="AI27" s="83"/>
      <c r="AJ27" s="83"/>
      <c r="AK27" s="83"/>
      <c r="AL27" s="163"/>
      <c r="AM27" s="163"/>
      <c r="AN27" s="163"/>
      <c r="AO27" s="163"/>
      <c r="AP27" s="163"/>
      <c r="AQ27" s="163"/>
      <c r="AR27" s="163"/>
      <c r="AS27" s="163"/>
      <c r="AT27" s="163"/>
      <c r="AU27" s="165"/>
      <c r="AV27" s="165"/>
      <c r="AW27" s="165"/>
      <c r="AX27" s="165"/>
      <c r="AY27" s="165"/>
      <c r="AZ27" s="165"/>
      <c r="BA27" s="163"/>
      <c r="BB27" s="163"/>
      <c r="BC27" s="96"/>
      <c r="BD27" s="96"/>
      <c r="BE27" s="96"/>
      <c r="BF27" s="97"/>
      <c r="BG27" s="97"/>
      <c r="BH27" s="97"/>
      <c r="BI27" s="97"/>
      <c r="BJ27" s="97"/>
      <c r="BK27" s="97"/>
      <c r="BL27" s="97"/>
      <c r="BM27" s="97"/>
      <c r="BN27" s="97"/>
      <c r="BO27" s="97"/>
      <c r="BP27" s="97"/>
      <c r="BQ27" s="97"/>
      <c r="BR27" s="97"/>
      <c r="BS27" s="97"/>
      <c r="BT27" s="97"/>
    </row>
    <row r="28" spans="1:72" s="86" customFormat="1" ht="16" customHeight="1">
      <c r="A28" s="98" t="s">
        <v>275</v>
      </c>
      <c r="B28" s="98"/>
      <c r="C28" s="98"/>
      <c r="D28" s="98"/>
      <c r="E28" s="308" t="s">
        <v>274</v>
      </c>
      <c r="F28" s="308"/>
      <c r="G28" s="308"/>
      <c r="H28" s="308"/>
      <c r="I28" s="308"/>
      <c r="J28" s="308"/>
      <c r="K28" s="308"/>
      <c r="L28" s="308"/>
      <c r="M28" s="308"/>
      <c r="N28" s="308"/>
      <c r="O28" s="308"/>
      <c r="P28" s="308"/>
      <c r="Q28" s="308"/>
      <c r="R28" s="308"/>
      <c r="S28" s="308"/>
      <c r="T28" s="308"/>
      <c r="U28" s="98"/>
      <c r="V28" s="98"/>
      <c r="W28" s="98"/>
      <c r="X28" s="83"/>
      <c r="Y28" s="163"/>
      <c r="Z28" s="163"/>
      <c r="AA28" s="163"/>
      <c r="AB28" s="163"/>
      <c r="AC28" s="163"/>
      <c r="AD28" s="163"/>
      <c r="AE28" s="163"/>
      <c r="AF28" s="163"/>
      <c r="AG28" s="163"/>
      <c r="AH28" s="163"/>
      <c r="AI28" s="83"/>
      <c r="AJ28" s="83"/>
      <c r="AK28" s="83"/>
      <c r="AL28" s="163"/>
      <c r="AM28" s="163"/>
      <c r="AN28" s="163"/>
      <c r="AO28" s="163"/>
      <c r="AP28" s="163"/>
      <c r="AQ28" s="163"/>
      <c r="AR28" s="163"/>
      <c r="AS28" s="163"/>
      <c r="AT28" s="163"/>
      <c r="AU28" s="165"/>
      <c r="AV28" s="165"/>
      <c r="AW28" s="165"/>
      <c r="AX28" s="165"/>
      <c r="AY28" s="165"/>
      <c r="AZ28" s="165"/>
      <c r="BA28" s="163"/>
      <c r="BB28" s="163"/>
      <c r="BC28" s="96"/>
      <c r="BD28" s="96"/>
      <c r="BE28" s="96"/>
      <c r="BF28" s="97"/>
      <c r="BG28" s="97"/>
      <c r="BH28" s="97"/>
      <c r="BI28" s="97"/>
      <c r="BJ28" s="97"/>
      <c r="BK28" s="97"/>
      <c r="BL28" s="97"/>
      <c r="BM28" s="97"/>
      <c r="BN28" s="97"/>
      <c r="BO28" s="97"/>
      <c r="BP28" s="97"/>
      <c r="BQ28" s="97"/>
      <c r="BR28" s="97"/>
      <c r="BS28" s="97"/>
      <c r="BT28" s="97"/>
    </row>
    <row r="29" spans="1:72" s="86" customFormat="1">
      <c r="A29" s="98" t="s">
        <v>276</v>
      </c>
      <c r="B29" s="98"/>
      <c r="C29" s="98"/>
      <c r="D29" s="98"/>
      <c r="E29" s="308" t="s">
        <v>274</v>
      </c>
      <c r="F29" s="308"/>
      <c r="G29" s="308"/>
      <c r="H29" s="308"/>
      <c r="I29" s="308"/>
      <c r="J29" s="308"/>
      <c r="K29" s="308"/>
      <c r="L29" s="308"/>
      <c r="M29" s="308"/>
      <c r="N29" s="308"/>
      <c r="O29" s="308"/>
      <c r="P29" s="308"/>
      <c r="Q29" s="308"/>
      <c r="R29" s="308"/>
      <c r="S29" s="308"/>
      <c r="T29" s="308"/>
      <c r="U29" s="98"/>
      <c r="V29" s="98"/>
      <c r="W29" s="98"/>
      <c r="X29" s="83"/>
      <c r="Y29" s="163"/>
      <c r="Z29" s="163"/>
      <c r="AA29" s="163"/>
      <c r="AB29" s="163"/>
      <c r="AC29" s="163"/>
      <c r="AD29" s="163"/>
      <c r="AE29" s="163"/>
      <c r="AF29" s="163"/>
      <c r="AG29" s="163"/>
      <c r="AH29" s="163"/>
      <c r="AI29" s="83"/>
      <c r="AJ29" s="83"/>
      <c r="AK29" s="83"/>
      <c r="AL29" s="163"/>
      <c r="AM29" s="163"/>
      <c r="AN29" s="163"/>
      <c r="AO29" s="163"/>
      <c r="AP29" s="163"/>
      <c r="AQ29" s="163"/>
      <c r="AR29" s="163"/>
      <c r="AS29" s="163"/>
      <c r="AT29" s="163"/>
      <c r="AU29" s="165"/>
      <c r="AV29" s="165"/>
      <c r="AW29" s="165"/>
      <c r="AX29" s="165"/>
      <c r="AY29" s="165"/>
      <c r="AZ29" s="165"/>
      <c r="BA29" s="163"/>
      <c r="BB29" s="163"/>
      <c r="BC29" s="96"/>
      <c r="BD29" s="96"/>
      <c r="BE29" s="96"/>
      <c r="BF29" s="97"/>
      <c r="BG29" s="97"/>
      <c r="BH29" s="97"/>
      <c r="BI29" s="97"/>
      <c r="BJ29" s="97"/>
      <c r="BK29" s="97"/>
      <c r="BL29" s="97"/>
      <c r="BM29" s="97"/>
      <c r="BN29" s="97"/>
      <c r="BO29" s="97"/>
      <c r="BP29" s="97"/>
      <c r="BQ29" s="97"/>
      <c r="BR29" s="97"/>
      <c r="BS29" s="97"/>
      <c r="BT29" s="97"/>
    </row>
    <row r="30" spans="1:72" s="86" customFormat="1" ht="16" customHeight="1">
      <c r="A30" s="98" t="s">
        <v>277</v>
      </c>
      <c r="B30" s="98"/>
      <c r="C30" s="98"/>
      <c r="D30" s="98"/>
      <c r="E30" s="308" t="s">
        <v>274</v>
      </c>
      <c r="F30" s="308"/>
      <c r="G30" s="308"/>
      <c r="H30" s="308"/>
      <c r="I30" s="308"/>
      <c r="J30" s="308"/>
      <c r="K30" s="308"/>
      <c r="L30" s="308"/>
      <c r="M30" s="308"/>
      <c r="N30" s="308"/>
      <c r="O30" s="308"/>
      <c r="P30" s="308"/>
      <c r="Q30" s="308"/>
      <c r="R30" s="308"/>
      <c r="S30" s="308"/>
      <c r="T30" s="308"/>
      <c r="U30" s="98"/>
      <c r="V30" s="98"/>
      <c r="W30" s="98"/>
      <c r="X30" s="83"/>
      <c r="Y30" s="163"/>
      <c r="Z30" s="163"/>
      <c r="AA30" s="163"/>
      <c r="AB30" s="163"/>
      <c r="AC30" s="163"/>
      <c r="AD30" s="163"/>
      <c r="AE30" s="163"/>
      <c r="AF30" s="163"/>
      <c r="AG30" s="163"/>
      <c r="AH30" s="163"/>
      <c r="AI30" s="83"/>
      <c r="AJ30" s="83"/>
      <c r="AK30" s="83"/>
      <c r="AL30" s="163"/>
      <c r="AM30" s="163"/>
      <c r="AN30" s="163"/>
      <c r="AO30" s="163"/>
      <c r="AP30" s="163"/>
      <c r="AQ30" s="163"/>
      <c r="AR30" s="163"/>
      <c r="AS30" s="163"/>
      <c r="AT30" s="163"/>
      <c r="AU30" s="165"/>
      <c r="AV30" s="165"/>
      <c r="AW30" s="165"/>
      <c r="AX30" s="165"/>
      <c r="AY30" s="165"/>
      <c r="AZ30" s="165"/>
      <c r="BA30" s="163"/>
      <c r="BB30" s="163"/>
      <c r="BC30" s="96"/>
      <c r="BD30" s="96"/>
      <c r="BE30" s="96"/>
      <c r="BF30" s="97"/>
      <c r="BG30" s="97"/>
      <c r="BH30" s="97"/>
      <c r="BI30" s="97"/>
      <c r="BJ30" s="97"/>
      <c r="BK30" s="97"/>
      <c r="BL30" s="97"/>
      <c r="BM30" s="97"/>
      <c r="BN30" s="97"/>
      <c r="BO30" s="97"/>
      <c r="BP30" s="97"/>
      <c r="BQ30" s="97"/>
      <c r="BR30" s="97"/>
      <c r="BS30" s="97"/>
      <c r="BT30" s="97"/>
    </row>
    <row r="31" spans="1:72" s="86" customFormat="1" ht="16" customHeight="1">
      <c r="A31" s="98" t="s">
        <v>278</v>
      </c>
      <c r="B31" s="98"/>
      <c r="C31" s="98"/>
      <c r="D31" s="98"/>
      <c r="E31" s="308" t="s">
        <v>274</v>
      </c>
      <c r="F31" s="308"/>
      <c r="G31" s="308"/>
      <c r="H31" s="308"/>
      <c r="I31" s="308"/>
      <c r="J31" s="308"/>
      <c r="K31" s="308"/>
      <c r="L31" s="308"/>
      <c r="M31" s="308"/>
      <c r="N31" s="308"/>
      <c r="O31" s="308"/>
      <c r="P31" s="308"/>
      <c r="Q31" s="308"/>
      <c r="R31" s="308"/>
      <c r="S31" s="308"/>
      <c r="T31" s="308"/>
      <c r="U31" s="98"/>
      <c r="V31" s="98"/>
      <c r="W31" s="98"/>
      <c r="X31" s="83"/>
      <c r="Y31" s="163"/>
      <c r="Z31" s="163"/>
      <c r="AA31" s="163"/>
      <c r="AB31" s="163"/>
      <c r="AC31" s="163"/>
      <c r="AD31" s="163"/>
      <c r="AE31" s="163"/>
      <c r="AF31" s="163"/>
      <c r="AG31" s="163"/>
      <c r="AH31" s="163"/>
      <c r="AI31" s="83"/>
      <c r="AJ31" s="83"/>
      <c r="AK31" s="83"/>
      <c r="AL31" s="163"/>
      <c r="AM31" s="163"/>
      <c r="AN31" s="163"/>
      <c r="AO31" s="163"/>
      <c r="AP31" s="163"/>
      <c r="AQ31" s="163"/>
      <c r="AR31" s="163"/>
      <c r="AS31" s="163"/>
      <c r="AT31" s="163"/>
      <c r="AU31" s="165"/>
      <c r="AV31" s="165"/>
      <c r="AW31" s="165"/>
      <c r="AX31" s="165"/>
      <c r="AY31" s="165"/>
      <c r="AZ31" s="165"/>
      <c r="BA31" s="163"/>
      <c r="BB31" s="163"/>
      <c r="BC31" s="96"/>
      <c r="BD31" s="96"/>
      <c r="BE31" s="96"/>
      <c r="BF31" s="97"/>
      <c r="BG31" s="97"/>
      <c r="BH31" s="97"/>
      <c r="BI31" s="97"/>
      <c r="BJ31" s="97"/>
      <c r="BK31" s="97"/>
      <c r="BL31" s="97"/>
      <c r="BM31" s="97"/>
      <c r="BN31" s="97"/>
      <c r="BO31" s="97"/>
      <c r="BP31" s="97"/>
      <c r="BQ31" s="97"/>
      <c r="BR31" s="97"/>
      <c r="BS31" s="97"/>
      <c r="BT31" s="97"/>
    </row>
    <row r="32" spans="1:72" s="86" customFormat="1" ht="16" customHeight="1">
      <c r="A32" s="98"/>
      <c r="B32" s="98"/>
      <c r="C32" s="98"/>
      <c r="D32" s="98"/>
      <c r="E32" s="98"/>
      <c r="F32" s="98"/>
      <c r="G32" s="98"/>
      <c r="H32" s="98"/>
      <c r="I32" s="98"/>
      <c r="J32" s="98"/>
      <c r="K32" s="98"/>
      <c r="L32" s="98"/>
      <c r="M32" s="98"/>
      <c r="N32" s="98"/>
      <c r="O32" s="98"/>
      <c r="P32" s="98"/>
      <c r="Q32" s="98"/>
      <c r="R32" s="98"/>
      <c r="S32" s="98"/>
      <c r="T32" s="98"/>
      <c r="U32" s="98"/>
      <c r="V32" s="98"/>
      <c r="W32" s="98"/>
      <c r="X32" s="83"/>
      <c r="Y32" s="163"/>
      <c r="Z32" s="163"/>
      <c r="AA32" s="163"/>
      <c r="AB32" s="163"/>
      <c r="AC32" s="163"/>
      <c r="AD32" s="163"/>
      <c r="AE32" s="163"/>
      <c r="AF32" s="163"/>
      <c r="AG32" s="163"/>
      <c r="AH32" s="163"/>
      <c r="AI32" s="83"/>
      <c r="AJ32" s="83"/>
      <c r="AK32" s="83"/>
      <c r="AL32" s="163"/>
      <c r="AM32" s="163"/>
      <c r="AN32" s="163"/>
      <c r="AO32" s="163"/>
      <c r="AP32" s="163"/>
      <c r="AQ32" s="163"/>
      <c r="AR32" s="163"/>
      <c r="AS32" s="163"/>
      <c r="AT32" s="163"/>
      <c r="AU32" s="165"/>
      <c r="AV32" s="165"/>
      <c r="AW32" s="165"/>
      <c r="AX32" s="165"/>
      <c r="AY32" s="165"/>
      <c r="AZ32" s="165"/>
      <c r="BA32" s="163"/>
      <c r="BB32" s="163"/>
      <c r="BC32" s="96"/>
      <c r="BD32" s="96"/>
      <c r="BE32" s="96"/>
      <c r="BF32" s="97"/>
      <c r="BG32" s="97"/>
      <c r="BH32" s="97"/>
      <c r="BI32" s="97"/>
      <c r="BJ32" s="97"/>
      <c r="BK32" s="97"/>
      <c r="BL32" s="97"/>
      <c r="BM32" s="97"/>
      <c r="BN32" s="97"/>
      <c r="BO32" s="97"/>
      <c r="BP32" s="97"/>
      <c r="BQ32" s="97"/>
      <c r="BR32" s="97"/>
      <c r="BS32" s="97"/>
      <c r="BT32" s="97"/>
    </row>
    <row r="33" spans="1:72" s="86" customFormat="1" ht="16" customHeight="1">
      <c r="A33" s="98"/>
      <c r="B33" s="98"/>
      <c r="C33" s="98"/>
      <c r="D33" s="98"/>
      <c r="E33" s="98"/>
      <c r="F33" s="98"/>
      <c r="G33" s="98"/>
      <c r="H33" s="98"/>
      <c r="I33" s="98"/>
      <c r="J33" s="98"/>
      <c r="K33" s="98"/>
      <c r="L33" s="98"/>
      <c r="M33" s="98"/>
      <c r="N33" s="98"/>
      <c r="O33" s="98"/>
      <c r="P33" s="98"/>
      <c r="Q33" s="98"/>
      <c r="R33" s="98"/>
      <c r="S33" s="98"/>
      <c r="T33" s="98"/>
      <c r="U33" s="98"/>
      <c r="V33" s="98"/>
      <c r="W33" s="98"/>
      <c r="X33" s="83"/>
      <c r="Y33" s="163"/>
      <c r="Z33" s="163"/>
      <c r="AA33" s="163"/>
      <c r="AB33" s="163"/>
      <c r="AC33" s="163"/>
      <c r="AD33" s="163"/>
      <c r="AE33" s="163"/>
      <c r="AF33" s="163"/>
      <c r="AG33" s="163"/>
      <c r="AH33" s="163"/>
      <c r="AI33" s="83"/>
      <c r="AJ33" s="83"/>
      <c r="AK33" s="83"/>
      <c r="AL33" s="163"/>
      <c r="AM33" s="163"/>
      <c r="AN33" s="163"/>
      <c r="AO33" s="163"/>
      <c r="AP33" s="163"/>
      <c r="AQ33" s="163"/>
      <c r="AR33" s="163"/>
      <c r="AS33" s="163"/>
      <c r="AT33" s="163"/>
      <c r="AU33" s="165"/>
      <c r="AV33" s="165"/>
      <c r="AW33" s="165"/>
      <c r="AX33" s="165"/>
      <c r="AY33" s="165"/>
      <c r="AZ33" s="165"/>
      <c r="BA33" s="163"/>
      <c r="BB33" s="163"/>
      <c r="BC33" s="96"/>
      <c r="BD33" s="96"/>
      <c r="BE33" s="96"/>
      <c r="BF33" s="97"/>
      <c r="BG33" s="97"/>
      <c r="BH33" s="97"/>
      <c r="BI33" s="97"/>
      <c r="BJ33" s="97"/>
      <c r="BK33" s="97"/>
      <c r="BL33" s="97"/>
      <c r="BM33" s="97"/>
      <c r="BN33" s="97"/>
      <c r="BO33" s="97"/>
      <c r="BP33" s="97"/>
      <c r="BQ33" s="97"/>
      <c r="BR33" s="97"/>
      <c r="BS33" s="97"/>
      <c r="BT33" s="97"/>
    </row>
    <row r="34" spans="1:72" s="86" customFormat="1" ht="16" customHeight="1">
      <c r="A34" s="98"/>
      <c r="B34" s="98"/>
      <c r="C34" s="98"/>
      <c r="D34" s="98"/>
      <c r="E34" s="98"/>
      <c r="F34" s="98"/>
      <c r="G34" s="98"/>
      <c r="H34" s="98"/>
      <c r="I34" s="98"/>
      <c r="J34" s="98"/>
      <c r="K34" s="98"/>
      <c r="L34" s="98"/>
      <c r="M34" s="98"/>
      <c r="N34" s="98"/>
      <c r="O34" s="98"/>
      <c r="P34" s="98"/>
      <c r="Q34" s="98"/>
      <c r="R34" s="98"/>
      <c r="S34" s="98"/>
      <c r="T34" s="98"/>
      <c r="U34" s="98"/>
      <c r="V34" s="98"/>
      <c r="W34" s="98"/>
      <c r="X34" s="83"/>
      <c r="Y34" s="163"/>
      <c r="Z34" s="163"/>
      <c r="AA34" s="163"/>
      <c r="AB34" s="163"/>
      <c r="AC34" s="163"/>
      <c r="AD34" s="163"/>
      <c r="AE34" s="163"/>
      <c r="AF34" s="163"/>
      <c r="AG34" s="163"/>
      <c r="AH34" s="163"/>
      <c r="AI34" s="83"/>
      <c r="AJ34" s="83"/>
      <c r="AK34" s="83"/>
      <c r="AL34" s="163"/>
      <c r="AM34" s="163"/>
      <c r="AN34" s="163"/>
      <c r="AO34" s="163"/>
      <c r="AP34" s="163"/>
      <c r="AQ34" s="163"/>
      <c r="AR34" s="163"/>
      <c r="AS34" s="163"/>
      <c r="AT34" s="163"/>
      <c r="AU34" s="165"/>
      <c r="AV34" s="165"/>
      <c r="AW34" s="165"/>
      <c r="AX34" s="165"/>
      <c r="AY34" s="165"/>
      <c r="AZ34" s="165"/>
      <c r="BA34" s="163"/>
      <c r="BB34" s="163"/>
      <c r="BC34" s="96"/>
      <c r="BD34" s="96"/>
      <c r="BE34" s="96"/>
      <c r="BF34" s="97"/>
      <c r="BG34" s="97"/>
      <c r="BH34" s="97"/>
      <c r="BI34" s="97"/>
      <c r="BJ34" s="97"/>
      <c r="BK34" s="97"/>
      <c r="BL34" s="97"/>
      <c r="BM34" s="97"/>
      <c r="BN34" s="97"/>
      <c r="BO34" s="97"/>
      <c r="BP34" s="97"/>
      <c r="BQ34" s="97"/>
      <c r="BR34" s="97"/>
      <c r="BS34" s="97"/>
      <c r="BT34" s="97"/>
    </row>
    <row r="35" spans="1:72" s="86" customFormat="1" ht="16" customHeight="1">
      <c r="A35" s="98"/>
      <c r="B35" s="98"/>
      <c r="C35" s="98"/>
      <c r="D35" s="98"/>
      <c r="E35" s="98"/>
      <c r="F35" s="98"/>
      <c r="G35" s="98"/>
      <c r="H35" s="98"/>
      <c r="I35" s="98"/>
      <c r="J35" s="98"/>
      <c r="K35" s="98"/>
      <c r="L35" s="98"/>
      <c r="M35" s="98"/>
      <c r="N35" s="98"/>
      <c r="O35" s="98"/>
      <c r="P35" s="98"/>
      <c r="Q35" s="98"/>
      <c r="R35" s="98"/>
      <c r="S35" s="98"/>
      <c r="T35" s="98"/>
      <c r="U35" s="98"/>
      <c r="V35" s="98"/>
      <c r="W35" s="98"/>
      <c r="X35" s="83"/>
      <c r="Y35" s="163"/>
      <c r="Z35" s="163"/>
      <c r="AA35" s="163"/>
      <c r="AB35" s="163"/>
      <c r="AC35" s="163"/>
      <c r="AD35" s="163"/>
      <c r="AE35" s="163"/>
      <c r="AF35" s="163"/>
      <c r="AG35" s="163"/>
      <c r="AH35" s="163"/>
      <c r="AI35" s="83"/>
      <c r="AJ35" s="83"/>
      <c r="AK35" s="83"/>
      <c r="AL35" s="163"/>
      <c r="AM35" s="163"/>
      <c r="AN35" s="163"/>
      <c r="AO35" s="163"/>
      <c r="AP35" s="163"/>
      <c r="AQ35" s="163"/>
      <c r="AR35" s="163"/>
      <c r="AS35" s="163"/>
      <c r="AT35" s="163"/>
      <c r="AU35" s="165"/>
      <c r="AV35" s="165"/>
      <c r="AW35" s="165"/>
      <c r="AX35" s="165"/>
      <c r="AY35" s="165"/>
      <c r="AZ35" s="165"/>
      <c r="BA35" s="163"/>
      <c r="BB35" s="163"/>
      <c r="BC35" s="96"/>
      <c r="BD35" s="96"/>
      <c r="BE35" s="96"/>
      <c r="BF35" s="97"/>
      <c r="BG35" s="97"/>
      <c r="BH35" s="97"/>
      <c r="BI35" s="97"/>
      <c r="BJ35" s="97"/>
      <c r="BK35" s="97"/>
      <c r="BL35" s="97"/>
      <c r="BM35" s="97"/>
      <c r="BN35" s="97"/>
      <c r="BO35" s="97"/>
      <c r="BP35" s="97"/>
      <c r="BQ35" s="97"/>
      <c r="BR35" s="97"/>
      <c r="BS35" s="97"/>
      <c r="BT35" s="97"/>
    </row>
    <row r="36" spans="1:72" s="86" customFormat="1" ht="16" customHeight="1">
      <c r="A36" s="98"/>
      <c r="B36" s="98"/>
      <c r="C36" s="98"/>
      <c r="D36" s="98"/>
      <c r="E36" s="98"/>
      <c r="F36" s="98"/>
      <c r="G36" s="98"/>
      <c r="H36" s="98"/>
      <c r="I36" s="98"/>
      <c r="J36" s="98"/>
      <c r="K36" s="98"/>
      <c r="L36" s="98"/>
      <c r="M36" s="98"/>
      <c r="N36" s="98"/>
      <c r="O36" s="98"/>
      <c r="P36" s="98"/>
      <c r="Q36" s="98"/>
      <c r="R36" s="98"/>
      <c r="S36" s="98"/>
      <c r="T36" s="98"/>
      <c r="U36" s="98"/>
      <c r="V36" s="98"/>
      <c r="W36" s="98"/>
      <c r="X36" s="83"/>
      <c r="Y36" s="163"/>
      <c r="Z36" s="163"/>
      <c r="AA36" s="163"/>
      <c r="AB36" s="163"/>
      <c r="AC36" s="163"/>
      <c r="AD36" s="163"/>
      <c r="AE36" s="163"/>
      <c r="AF36" s="163"/>
      <c r="AG36" s="163"/>
      <c r="AH36" s="163"/>
      <c r="AI36" s="83"/>
      <c r="AJ36" s="83"/>
      <c r="AK36" s="83"/>
      <c r="AL36" s="163"/>
      <c r="AM36" s="163"/>
      <c r="AN36" s="163"/>
      <c r="AO36" s="163"/>
      <c r="AP36" s="163"/>
      <c r="AQ36" s="163"/>
      <c r="AR36" s="163"/>
      <c r="AS36" s="163"/>
      <c r="AT36" s="163"/>
      <c r="AU36" s="165"/>
      <c r="AV36" s="165"/>
      <c r="AW36" s="165"/>
      <c r="AX36" s="165"/>
      <c r="AY36" s="165"/>
      <c r="AZ36" s="165"/>
      <c r="BA36" s="163"/>
      <c r="BB36" s="163"/>
      <c r="BC36" s="96"/>
      <c r="BD36" s="96"/>
      <c r="BE36" s="96"/>
      <c r="BF36" s="97"/>
      <c r="BG36" s="97"/>
      <c r="BH36" s="97"/>
      <c r="BI36" s="97"/>
      <c r="BJ36" s="97"/>
      <c r="BK36" s="97"/>
      <c r="BL36" s="97"/>
      <c r="BM36" s="97"/>
      <c r="BN36" s="97"/>
      <c r="BO36" s="97"/>
      <c r="BP36" s="97"/>
      <c r="BQ36" s="97"/>
      <c r="BR36" s="97"/>
      <c r="BS36" s="97"/>
      <c r="BT36" s="97"/>
    </row>
    <row r="37" spans="1:72" s="86" customFormat="1" ht="16" customHeight="1">
      <c r="A37" s="98"/>
      <c r="B37" s="98"/>
      <c r="C37" s="98"/>
      <c r="D37" s="98"/>
      <c r="E37" s="98"/>
      <c r="F37" s="98"/>
      <c r="G37" s="98"/>
      <c r="H37" s="98"/>
      <c r="I37" s="98"/>
      <c r="J37" s="98"/>
      <c r="K37" s="98"/>
      <c r="L37" s="98"/>
      <c r="M37" s="98"/>
      <c r="N37" s="98"/>
      <c r="O37" s="98"/>
      <c r="P37" s="98"/>
      <c r="Q37" s="98"/>
      <c r="R37" s="98"/>
      <c r="S37" s="98"/>
      <c r="T37" s="98"/>
      <c r="U37" s="98"/>
      <c r="V37" s="98"/>
      <c r="W37" s="98"/>
      <c r="X37" s="83"/>
      <c r="Y37" s="163"/>
      <c r="Z37" s="163"/>
      <c r="AA37" s="163"/>
      <c r="AB37" s="163"/>
      <c r="AC37" s="163"/>
      <c r="AD37" s="163"/>
      <c r="AE37" s="163"/>
      <c r="AF37" s="163"/>
      <c r="AG37" s="163"/>
      <c r="AH37" s="163"/>
      <c r="AI37" s="83"/>
      <c r="AJ37" s="83"/>
      <c r="AK37" s="83"/>
      <c r="AL37" s="163"/>
      <c r="AM37" s="163"/>
      <c r="AN37" s="163"/>
      <c r="AO37" s="163"/>
      <c r="AP37" s="163"/>
      <c r="AQ37" s="163"/>
      <c r="AR37" s="163"/>
      <c r="AS37" s="163"/>
      <c r="AT37" s="163"/>
      <c r="AU37" s="165"/>
      <c r="AV37" s="165"/>
      <c r="AW37" s="165"/>
      <c r="AX37" s="165"/>
      <c r="AY37" s="165"/>
      <c r="AZ37" s="165"/>
      <c r="BA37" s="163"/>
      <c r="BB37" s="163"/>
      <c r="BC37" s="96"/>
      <c r="BD37" s="96"/>
      <c r="BE37" s="96"/>
      <c r="BF37" s="97"/>
      <c r="BG37" s="97"/>
      <c r="BH37" s="97"/>
      <c r="BI37" s="97"/>
      <c r="BJ37" s="97"/>
      <c r="BK37" s="97"/>
      <c r="BL37" s="97"/>
      <c r="BM37" s="97"/>
      <c r="BN37" s="97"/>
      <c r="BO37" s="97"/>
      <c r="BP37" s="97"/>
      <c r="BQ37" s="97"/>
      <c r="BR37" s="97"/>
      <c r="BS37" s="97"/>
      <c r="BT37" s="97"/>
    </row>
    <row r="38" spans="1:72" s="86" customFormat="1" ht="16" customHeight="1">
      <c r="A38" s="98"/>
      <c r="B38" s="98"/>
      <c r="C38" s="98"/>
      <c r="D38" s="98"/>
      <c r="E38" s="98"/>
      <c r="F38" s="98"/>
      <c r="G38" s="98"/>
      <c r="H38" s="98"/>
      <c r="I38" s="98"/>
      <c r="J38" s="98"/>
      <c r="K38" s="98"/>
      <c r="L38" s="98"/>
      <c r="M38" s="98"/>
      <c r="N38" s="98"/>
      <c r="O38" s="98"/>
      <c r="P38" s="98"/>
      <c r="Q38" s="98"/>
      <c r="R38" s="98"/>
      <c r="S38" s="98"/>
      <c r="T38" s="98"/>
      <c r="U38" s="98"/>
      <c r="V38" s="98"/>
      <c r="W38" s="98"/>
      <c r="X38" s="83"/>
      <c r="Y38" s="163"/>
      <c r="Z38" s="163"/>
      <c r="AA38" s="163"/>
      <c r="AB38" s="163"/>
      <c r="AC38" s="163"/>
      <c r="AD38" s="163"/>
      <c r="AE38" s="163"/>
      <c r="AF38" s="163"/>
      <c r="AG38" s="163"/>
      <c r="AH38" s="163"/>
      <c r="AI38" s="83"/>
      <c r="AJ38" s="83"/>
      <c r="AK38" s="83"/>
      <c r="AL38" s="163"/>
      <c r="AM38" s="163"/>
      <c r="AN38" s="163"/>
      <c r="AO38" s="163"/>
      <c r="AP38" s="163"/>
      <c r="AQ38" s="163"/>
      <c r="AR38" s="163"/>
      <c r="AS38" s="163"/>
      <c r="AT38" s="163"/>
      <c r="AU38" s="165"/>
      <c r="AV38" s="165"/>
      <c r="AW38" s="165"/>
      <c r="AX38" s="165"/>
      <c r="AY38" s="165"/>
      <c r="AZ38" s="165"/>
      <c r="BA38" s="163"/>
      <c r="BB38" s="163"/>
      <c r="BC38" s="96"/>
      <c r="BD38" s="96"/>
      <c r="BE38" s="96"/>
      <c r="BF38" s="97"/>
      <c r="BG38" s="97"/>
      <c r="BH38" s="97"/>
      <c r="BI38" s="97"/>
      <c r="BJ38" s="97"/>
      <c r="BK38" s="97"/>
      <c r="BL38" s="97"/>
      <c r="BM38" s="97"/>
      <c r="BN38" s="97"/>
      <c r="BO38" s="97"/>
      <c r="BP38" s="97"/>
      <c r="BQ38" s="97"/>
      <c r="BR38" s="97"/>
      <c r="BS38" s="97"/>
      <c r="BT38" s="97"/>
    </row>
    <row r="39" spans="1:72" s="86" customFormat="1" ht="16" customHeight="1">
      <c r="A39" s="98"/>
      <c r="B39" s="98"/>
      <c r="C39" s="98"/>
      <c r="D39" s="98"/>
      <c r="E39" s="98"/>
      <c r="F39" s="98"/>
      <c r="G39" s="98"/>
      <c r="H39" s="98"/>
      <c r="I39" s="98"/>
      <c r="J39" s="98"/>
      <c r="K39" s="98"/>
      <c r="L39" s="98"/>
      <c r="M39" s="98"/>
      <c r="N39" s="98"/>
      <c r="O39" s="98"/>
      <c r="P39" s="98"/>
      <c r="Q39" s="98"/>
      <c r="R39" s="98"/>
      <c r="S39" s="98"/>
      <c r="T39" s="98"/>
      <c r="U39" s="98"/>
      <c r="V39" s="100"/>
      <c r="W39" s="100"/>
      <c r="X39" s="83"/>
      <c r="Y39" s="163"/>
      <c r="Z39" s="163"/>
      <c r="AA39" s="163"/>
      <c r="AB39" s="163"/>
      <c r="AC39" s="163"/>
      <c r="AD39" s="163"/>
      <c r="AE39" s="163"/>
      <c r="AF39" s="163"/>
      <c r="AG39" s="163"/>
      <c r="AH39" s="163"/>
      <c r="AI39" s="83"/>
      <c r="AJ39" s="83"/>
      <c r="AK39" s="83"/>
      <c r="AL39" s="163"/>
      <c r="AM39" s="163"/>
      <c r="AN39" s="163"/>
      <c r="AO39" s="163"/>
      <c r="AP39" s="163"/>
      <c r="AQ39" s="163"/>
      <c r="AR39" s="163"/>
      <c r="AS39" s="163"/>
      <c r="AT39" s="163"/>
      <c r="AU39" s="165"/>
      <c r="AV39" s="165"/>
      <c r="AW39" s="165"/>
      <c r="AX39" s="165"/>
      <c r="AY39" s="165"/>
      <c r="AZ39" s="165"/>
      <c r="BA39" s="163"/>
      <c r="BB39" s="163"/>
      <c r="BC39" s="96"/>
      <c r="BD39" s="96"/>
      <c r="BE39" s="96"/>
      <c r="BF39" s="97"/>
      <c r="BG39" s="97"/>
      <c r="BH39" s="97"/>
      <c r="BI39" s="97"/>
      <c r="BJ39" s="97"/>
      <c r="BK39" s="97"/>
      <c r="BL39" s="97"/>
      <c r="BM39" s="97"/>
      <c r="BN39" s="97"/>
      <c r="BO39" s="97"/>
      <c r="BP39" s="97"/>
      <c r="BQ39" s="97"/>
      <c r="BR39" s="97"/>
      <c r="BS39" s="97"/>
      <c r="BT39" s="97"/>
    </row>
    <row r="40" spans="1:72" s="86" customFormat="1" ht="16" customHeight="1">
      <c r="A40" s="83"/>
      <c r="B40" s="83"/>
      <c r="C40" s="83"/>
      <c r="D40" s="83"/>
      <c r="E40" s="83"/>
      <c r="F40" s="83"/>
      <c r="G40" s="83"/>
      <c r="H40" s="83"/>
      <c r="I40" s="83"/>
      <c r="J40" s="109"/>
      <c r="K40" s="83"/>
      <c r="L40" s="83"/>
      <c r="M40" s="83"/>
      <c r="N40" s="83"/>
      <c r="O40" s="83"/>
      <c r="P40" s="83"/>
      <c r="Q40" s="109"/>
      <c r="R40" s="83"/>
      <c r="S40" s="83"/>
      <c r="T40" s="83"/>
      <c r="U40" s="83"/>
      <c r="V40" s="83"/>
      <c r="W40" s="83"/>
      <c r="X40" s="83"/>
      <c r="Y40" s="163"/>
      <c r="Z40" s="163"/>
      <c r="AA40" s="163"/>
      <c r="AB40" s="163"/>
      <c r="AC40" s="163"/>
      <c r="AD40" s="163"/>
      <c r="AE40" s="163"/>
      <c r="AF40" s="163"/>
      <c r="AG40" s="163"/>
      <c r="AH40" s="163"/>
      <c r="AI40" s="83"/>
      <c r="AJ40" s="83"/>
      <c r="AK40" s="83"/>
      <c r="AL40" s="163"/>
      <c r="AM40" s="163"/>
      <c r="AN40" s="163"/>
      <c r="AO40" s="163"/>
      <c r="AP40" s="163"/>
      <c r="AQ40" s="163"/>
      <c r="AR40" s="163"/>
      <c r="AS40" s="163"/>
      <c r="AT40" s="163"/>
      <c r="AU40" s="165"/>
      <c r="AV40" s="165"/>
      <c r="AW40" s="165"/>
      <c r="AX40" s="165"/>
      <c r="AY40" s="165"/>
      <c r="AZ40" s="165"/>
      <c r="BA40" s="163"/>
      <c r="BB40" s="163"/>
      <c r="BC40" s="96"/>
      <c r="BD40" s="96"/>
      <c r="BE40" s="96"/>
      <c r="BF40" s="97"/>
      <c r="BG40" s="97"/>
      <c r="BH40" s="97"/>
      <c r="BI40" s="97"/>
      <c r="BJ40" s="97"/>
      <c r="BK40" s="97"/>
      <c r="BL40" s="97"/>
      <c r="BM40" s="97"/>
      <c r="BN40" s="97"/>
      <c r="BO40" s="97"/>
      <c r="BP40" s="97"/>
      <c r="BQ40" s="97"/>
      <c r="BR40" s="97"/>
      <c r="BS40" s="97"/>
      <c r="BT40" s="97"/>
    </row>
    <row r="41" spans="1:72" s="86" customFormat="1" ht="16" customHeight="1">
      <c r="A41" s="98"/>
      <c r="B41" s="98"/>
      <c r="C41" s="98"/>
      <c r="D41" s="98"/>
      <c r="E41" s="98"/>
      <c r="F41" s="98"/>
      <c r="G41" s="120"/>
      <c r="H41" s="120"/>
      <c r="I41" s="98"/>
      <c r="J41" s="98"/>
      <c r="K41" s="120"/>
      <c r="L41" s="120"/>
      <c r="M41" s="120"/>
      <c r="N41" s="98"/>
      <c r="O41" s="120"/>
      <c r="P41" s="98"/>
      <c r="Q41" s="98"/>
      <c r="R41" s="120"/>
      <c r="S41" s="120"/>
      <c r="T41" s="120"/>
      <c r="U41" s="98"/>
      <c r="V41" s="120"/>
      <c r="W41" s="120"/>
      <c r="X41" s="83"/>
      <c r="Y41" s="163"/>
      <c r="Z41" s="163"/>
      <c r="AA41" s="163"/>
      <c r="AB41" s="163"/>
      <c r="AC41" s="163"/>
      <c r="AD41" s="163"/>
      <c r="AE41" s="163"/>
      <c r="AF41" s="163"/>
      <c r="AG41" s="163"/>
      <c r="AH41" s="163"/>
      <c r="AI41" s="83"/>
      <c r="AJ41" s="83"/>
      <c r="AK41" s="83"/>
      <c r="AL41" s="163"/>
      <c r="AM41" s="163"/>
      <c r="AN41" s="163"/>
      <c r="AO41" s="163"/>
      <c r="AP41" s="163"/>
      <c r="AQ41" s="163"/>
      <c r="AR41" s="163"/>
      <c r="AS41" s="163"/>
      <c r="AT41" s="163"/>
      <c r="AU41" s="165"/>
      <c r="AV41" s="165"/>
      <c r="AW41" s="165"/>
      <c r="AX41" s="165"/>
      <c r="AY41" s="165"/>
      <c r="AZ41" s="165"/>
      <c r="BA41" s="163"/>
      <c r="BB41" s="163"/>
      <c r="BC41" s="96"/>
      <c r="BD41" s="96"/>
      <c r="BE41" s="96"/>
      <c r="BF41" s="97"/>
      <c r="BG41" s="97"/>
      <c r="BH41" s="97"/>
      <c r="BI41" s="97"/>
      <c r="BJ41" s="97"/>
      <c r="BK41" s="97"/>
      <c r="BL41" s="97"/>
      <c r="BM41" s="97"/>
      <c r="BN41" s="97"/>
      <c r="BO41" s="97"/>
      <c r="BP41" s="97"/>
      <c r="BQ41" s="97"/>
      <c r="BR41" s="97"/>
      <c r="BS41" s="97"/>
      <c r="BT41" s="97"/>
    </row>
    <row r="42" spans="1:72" s="86" customFormat="1" ht="16" customHeight="1">
      <c r="A42" s="98"/>
      <c r="B42" s="98"/>
      <c r="C42" s="98"/>
      <c r="D42" s="98"/>
      <c r="E42" s="98"/>
      <c r="F42" s="98"/>
      <c r="G42" s="120"/>
      <c r="H42" s="120"/>
      <c r="I42" s="98"/>
      <c r="J42" s="98"/>
      <c r="K42" s="120"/>
      <c r="L42" s="120"/>
      <c r="M42" s="120"/>
      <c r="N42" s="98"/>
      <c r="O42" s="120"/>
      <c r="P42" s="98"/>
      <c r="Q42" s="98"/>
      <c r="R42" s="120"/>
      <c r="S42" s="120"/>
      <c r="T42" s="120"/>
      <c r="U42" s="98"/>
      <c r="V42" s="120"/>
      <c r="W42" s="120"/>
      <c r="X42" s="83"/>
      <c r="Y42" s="163"/>
      <c r="Z42" s="163"/>
      <c r="AA42" s="163"/>
      <c r="AB42" s="163"/>
      <c r="AC42" s="163"/>
      <c r="AD42" s="163"/>
      <c r="AE42" s="163"/>
      <c r="AF42" s="163"/>
      <c r="AG42" s="163"/>
      <c r="AH42" s="163"/>
      <c r="AI42" s="83"/>
      <c r="AJ42" s="83"/>
      <c r="AK42" s="83"/>
      <c r="AL42" s="163"/>
      <c r="AM42" s="163"/>
      <c r="AN42" s="163"/>
      <c r="AO42" s="163"/>
      <c r="AP42" s="163"/>
      <c r="AQ42" s="163"/>
      <c r="AR42" s="163"/>
      <c r="AS42" s="163"/>
      <c r="AT42" s="163"/>
      <c r="AU42" s="165"/>
      <c r="AV42" s="165"/>
      <c r="AW42" s="165"/>
      <c r="AX42" s="165"/>
      <c r="AY42" s="165"/>
      <c r="AZ42" s="165"/>
      <c r="BA42" s="163"/>
      <c r="BB42" s="163"/>
      <c r="BC42" s="96"/>
      <c r="BD42" s="96"/>
      <c r="BE42" s="96"/>
      <c r="BF42" s="97"/>
      <c r="BG42" s="97"/>
      <c r="BH42" s="97"/>
      <c r="BI42" s="97"/>
      <c r="BJ42" s="97"/>
      <c r="BK42" s="97"/>
      <c r="BL42" s="97"/>
      <c r="BM42" s="97"/>
      <c r="BN42" s="97"/>
      <c r="BO42" s="97"/>
      <c r="BP42" s="97"/>
      <c r="BQ42" s="97"/>
      <c r="BR42" s="97"/>
      <c r="BS42" s="97"/>
      <c r="BT42" s="97"/>
    </row>
    <row r="43" spans="1:72" s="86" customFormat="1" ht="16" customHeight="1">
      <c r="A43" s="98"/>
      <c r="B43" s="98"/>
      <c r="C43" s="98"/>
      <c r="D43" s="98"/>
      <c r="E43" s="98"/>
      <c r="F43" s="98"/>
      <c r="G43" s="120"/>
      <c r="H43" s="120"/>
      <c r="I43" s="98"/>
      <c r="J43" s="98"/>
      <c r="K43" s="120"/>
      <c r="L43" s="120"/>
      <c r="M43" s="120"/>
      <c r="N43" s="98"/>
      <c r="O43" s="120"/>
      <c r="P43" s="98"/>
      <c r="Q43" s="98"/>
      <c r="R43" s="120"/>
      <c r="S43" s="120"/>
      <c r="T43" s="120"/>
      <c r="U43" s="98"/>
      <c r="V43" s="120"/>
      <c r="W43" s="120"/>
      <c r="X43" s="83"/>
      <c r="Y43" s="163"/>
      <c r="Z43" s="163"/>
      <c r="AA43" s="163"/>
      <c r="AB43" s="163"/>
      <c r="AC43" s="163"/>
      <c r="AD43" s="163"/>
      <c r="AE43" s="163"/>
      <c r="AF43" s="163"/>
      <c r="AG43" s="163"/>
      <c r="AH43" s="163"/>
      <c r="AI43" s="83"/>
      <c r="AJ43" s="83"/>
      <c r="AK43" s="83"/>
      <c r="AL43" s="163"/>
      <c r="AM43" s="163"/>
      <c r="AN43" s="163"/>
      <c r="AO43" s="163"/>
      <c r="AP43" s="163"/>
      <c r="AQ43" s="163"/>
      <c r="AR43" s="163"/>
      <c r="AS43" s="163"/>
      <c r="AT43" s="163"/>
      <c r="AU43" s="165"/>
      <c r="AV43" s="165"/>
      <c r="AW43" s="165"/>
      <c r="AX43" s="165"/>
      <c r="AY43" s="165"/>
      <c r="AZ43" s="165"/>
      <c r="BA43" s="163"/>
      <c r="BB43" s="163"/>
      <c r="BC43" s="96"/>
      <c r="BD43" s="96"/>
      <c r="BE43" s="96"/>
      <c r="BF43" s="97"/>
      <c r="BG43" s="97"/>
      <c r="BH43" s="97"/>
      <c r="BI43" s="97"/>
      <c r="BJ43" s="97"/>
      <c r="BK43" s="97"/>
      <c r="BL43" s="97"/>
      <c r="BM43" s="97"/>
      <c r="BN43" s="97"/>
      <c r="BO43" s="97"/>
      <c r="BP43" s="97"/>
      <c r="BQ43" s="97"/>
      <c r="BR43" s="97"/>
      <c r="BS43" s="97"/>
      <c r="BT43" s="97"/>
    </row>
    <row r="44" spans="1:72" s="86" customFormat="1" ht="16" customHeight="1">
      <c r="A44" s="98"/>
      <c r="B44" s="98"/>
      <c r="C44" s="98"/>
      <c r="D44" s="98"/>
      <c r="E44" s="98"/>
      <c r="F44" s="98"/>
      <c r="G44" s="120"/>
      <c r="H44" s="120"/>
      <c r="I44" s="98"/>
      <c r="J44" s="98"/>
      <c r="K44" s="120"/>
      <c r="L44" s="120"/>
      <c r="M44" s="120"/>
      <c r="N44" s="98"/>
      <c r="O44" s="120"/>
      <c r="P44" s="98"/>
      <c r="Q44" s="98"/>
      <c r="R44" s="120"/>
      <c r="S44" s="120"/>
      <c r="T44" s="120"/>
      <c r="U44" s="98"/>
      <c r="V44" s="120"/>
      <c r="W44" s="120"/>
      <c r="X44" s="83"/>
      <c r="Y44" s="163"/>
      <c r="Z44" s="163"/>
      <c r="AA44" s="163"/>
      <c r="AB44" s="163"/>
      <c r="AC44" s="163"/>
      <c r="AD44" s="163"/>
      <c r="AE44" s="163"/>
      <c r="AF44" s="163"/>
      <c r="AG44" s="163"/>
      <c r="AH44" s="163"/>
      <c r="AI44" s="83"/>
      <c r="AJ44" s="83"/>
      <c r="AK44" s="83"/>
      <c r="AL44" s="163"/>
      <c r="AM44" s="163"/>
      <c r="AN44" s="163"/>
      <c r="AO44" s="163"/>
      <c r="AP44" s="163"/>
      <c r="AQ44" s="163"/>
      <c r="AR44" s="163"/>
      <c r="AS44" s="163"/>
      <c r="AT44" s="163"/>
      <c r="AU44" s="165"/>
      <c r="AV44" s="165"/>
      <c r="AW44" s="165"/>
      <c r="AX44" s="165"/>
      <c r="AY44" s="165"/>
      <c r="AZ44" s="165"/>
      <c r="BA44" s="163"/>
      <c r="BB44" s="163"/>
      <c r="BC44" s="96"/>
      <c r="BD44" s="96"/>
      <c r="BE44" s="96"/>
      <c r="BF44" s="97"/>
      <c r="BG44" s="97"/>
      <c r="BH44" s="97"/>
      <c r="BI44" s="97"/>
      <c r="BJ44" s="97"/>
      <c r="BK44" s="97"/>
      <c r="BL44" s="97"/>
      <c r="BM44" s="97"/>
      <c r="BN44" s="97"/>
      <c r="BO44" s="97"/>
      <c r="BP44" s="97"/>
      <c r="BQ44" s="97"/>
      <c r="BR44" s="97"/>
      <c r="BS44" s="97"/>
      <c r="BT44" s="97"/>
    </row>
    <row r="45" spans="1:72" s="86" customFormat="1" ht="16" customHeight="1">
      <c r="A45" s="98"/>
      <c r="B45" s="98"/>
      <c r="C45" s="98"/>
      <c r="D45" s="98"/>
      <c r="E45" s="98"/>
      <c r="F45" s="98"/>
      <c r="G45" s="120"/>
      <c r="H45" s="120"/>
      <c r="I45" s="98"/>
      <c r="J45" s="98"/>
      <c r="K45" s="120"/>
      <c r="L45" s="120"/>
      <c r="M45" s="120"/>
      <c r="N45" s="98"/>
      <c r="O45" s="120"/>
      <c r="P45" s="98"/>
      <c r="Q45" s="98"/>
      <c r="R45" s="120"/>
      <c r="S45" s="120"/>
      <c r="T45" s="120"/>
      <c r="U45" s="98"/>
      <c r="V45" s="120"/>
      <c r="W45" s="120"/>
      <c r="X45" s="83"/>
      <c r="Y45" s="163"/>
      <c r="Z45" s="163"/>
      <c r="AA45" s="163"/>
      <c r="AB45" s="163"/>
      <c r="AC45" s="163"/>
      <c r="AD45" s="163"/>
      <c r="AE45" s="163"/>
      <c r="AF45" s="163"/>
      <c r="AG45" s="163"/>
      <c r="AH45" s="163"/>
      <c r="AI45" s="83"/>
      <c r="AJ45" s="83"/>
      <c r="AK45" s="83"/>
      <c r="AL45" s="163"/>
      <c r="AM45" s="163"/>
      <c r="AN45" s="163"/>
      <c r="AO45" s="163"/>
      <c r="AP45" s="163"/>
      <c r="AQ45" s="163"/>
      <c r="AR45" s="163"/>
      <c r="AS45" s="163"/>
      <c r="AT45" s="163"/>
      <c r="AU45" s="165"/>
      <c r="AV45" s="165"/>
      <c r="AW45" s="165"/>
      <c r="AX45" s="165"/>
      <c r="AY45" s="165"/>
      <c r="AZ45" s="165"/>
      <c r="BA45" s="163"/>
      <c r="BB45" s="163"/>
      <c r="BC45" s="96"/>
      <c r="BD45" s="96"/>
      <c r="BE45" s="96"/>
      <c r="BF45" s="97"/>
      <c r="BG45" s="97"/>
      <c r="BH45" s="97"/>
      <c r="BI45" s="97"/>
      <c r="BJ45" s="97"/>
      <c r="BK45" s="97"/>
      <c r="BL45" s="97"/>
      <c r="BM45" s="97"/>
      <c r="BN45" s="97"/>
      <c r="BO45" s="97"/>
      <c r="BP45" s="97"/>
      <c r="BQ45" s="97"/>
      <c r="BR45" s="97"/>
      <c r="BS45" s="97"/>
      <c r="BT45" s="97"/>
    </row>
    <row r="46" spans="1:72" s="86" customFormat="1" ht="16" customHeight="1">
      <c r="A46" s="98"/>
      <c r="B46" s="98"/>
      <c r="C46" s="98"/>
      <c r="D46" s="98"/>
      <c r="E46" s="98"/>
      <c r="F46" s="98"/>
      <c r="G46" s="120"/>
      <c r="H46" s="120"/>
      <c r="I46" s="98"/>
      <c r="J46" s="98"/>
      <c r="K46" s="120"/>
      <c r="L46" s="120"/>
      <c r="M46" s="120"/>
      <c r="N46" s="98"/>
      <c r="O46" s="120"/>
      <c r="P46" s="98"/>
      <c r="Q46" s="98"/>
      <c r="R46" s="120"/>
      <c r="S46" s="120"/>
      <c r="T46" s="120"/>
      <c r="U46" s="98"/>
      <c r="V46" s="120"/>
      <c r="W46" s="120"/>
      <c r="X46" s="83"/>
      <c r="Y46" s="163"/>
      <c r="Z46" s="163"/>
      <c r="AA46" s="163"/>
      <c r="AB46" s="163"/>
      <c r="AC46" s="163"/>
      <c r="AD46" s="163"/>
      <c r="AE46" s="163"/>
      <c r="AF46" s="163"/>
      <c r="AG46" s="163"/>
      <c r="AH46" s="163"/>
      <c r="AI46" s="83"/>
      <c r="AJ46" s="83"/>
      <c r="AK46" s="83"/>
      <c r="AL46" s="163"/>
      <c r="AM46" s="163"/>
      <c r="AN46" s="163"/>
      <c r="AO46" s="163"/>
      <c r="AP46" s="163"/>
      <c r="AQ46" s="163"/>
      <c r="AR46" s="163"/>
      <c r="AS46" s="163"/>
      <c r="AT46" s="163"/>
      <c r="AU46" s="165"/>
      <c r="AV46" s="165"/>
      <c r="AW46" s="165"/>
      <c r="AX46" s="165"/>
      <c r="AY46" s="165"/>
      <c r="AZ46" s="165"/>
      <c r="BA46" s="163"/>
      <c r="BB46" s="163"/>
      <c r="BC46" s="96"/>
      <c r="BD46" s="96"/>
      <c r="BE46" s="96"/>
      <c r="BF46" s="97"/>
      <c r="BG46" s="97"/>
      <c r="BH46" s="97"/>
      <c r="BI46" s="97"/>
      <c r="BJ46" s="97"/>
      <c r="BK46" s="97"/>
      <c r="BL46" s="97"/>
      <c r="BM46" s="97"/>
      <c r="BN46" s="97"/>
      <c r="BO46" s="97"/>
      <c r="BP46" s="97"/>
      <c r="BQ46" s="97"/>
      <c r="BR46" s="97"/>
      <c r="BS46" s="97"/>
      <c r="BT46" s="97"/>
    </row>
    <row r="47" spans="1:72" s="86" customFormat="1" ht="16" customHeight="1">
      <c r="A47" s="98"/>
      <c r="B47" s="98"/>
      <c r="C47" s="98"/>
      <c r="D47" s="98"/>
      <c r="E47" s="98"/>
      <c r="F47" s="98"/>
      <c r="G47" s="120"/>
      <c r="H47" s="120"/>
      <c r="I47" s="98"/>
      <c r="J47" s="98"/>
      <c r="K47" s="120"/>
      <c r="L47" s="120"/>
      <c r="M47" s="120"/>
      <c r="N47" s="98"/>
      <c r="O47" s="120"/>
      <c r="P47" s="98"/>
      <c r="Q47" s="98"/>
      <c r="R47" s="120"/>
      <c r="S47" s="120"/>
      <c r="T47" s="120"/>
      <c r="U47" s="98"/>
      <c r="V47" s="120"/>
      <c r="W47" s="120"/>
      <c r="X47" s="83"/>
      <c r="Y47" s="163"/>
      <c r="Z47" s="163"/>
      <c r="AA47" s="163"/>
      <c r="AB47" s="163"/>
      <c r="AC47" s="163"/>
      <c r="AD47" s="163"/>
      <c r="AE47" s="163"/>
      <c r="AF47" s="163"/>
      <c r="AG47" s="163"/>
      <c r="AH47" s="163"/>
      <c r="AI47" s="83"/>
      <c r="AJ47" s="83"/>
      <c r="AK47" s="83"/>
      <c r="AL47" s="163"/>
      <c r="AM47" s="163"/>
      <c r="AN47" s="163"/>
      <c r="AO47" s="163"/>
      <c r="AP47" s="163"/>
      <c r="AQ47" s="163"/>
      <c r="AR47" s="163"/>
      <c r="AS47" s="163"/>
      <c r="AT47" s="163"/>
      <c r="AU47" s="165"/>
      <c r="AV47" s="165"/>
      <c r="AW47" s="165"/>
      <c r="AX47" s="165"/>
      <c r="AY47" s="165"/>
      <c r="AZ47" s="165"/>
      <c r="BA47" s="163"/>
      <c r="BB47" s="163"/>
      <c r="BC47" s="96"/>
      <c r="BD47" s="96"/>
      <c r="BE47" s="96"/>
      <c r="BF47" s="97"/>
      <c r="BG47" s="97"/>
      <c r="BH47" s="97"/>
      <c r="BI47" s="97"/>
      <c r="BJ47" s="97"/>
      <c r="BK47" s="97"/>
      <c r="BL47" s="97"/>
      <c r="BM47" s="97"/>
      <c r="BN47" s="97"/>
      <c r="BO47" s="97"/>
      <c r="BP47" s="97"/>
      <c r="BQ47" s="97"/>
      <c r="BR47" s="97"/>
      <c r="BS47" s="97"/>
      <c r="BT47" s="97"/>
    </row>
    <row r="48" spans="1:72" s="86" customFormat="1" ht="16" customHeight="1">
      <c r="A48" s="98"/>
      <c r="B48" s="98"/>
      <c r="C48" s="98"/>
      <c r="D48" s="98"/>
      <c r="E48" s="98"/>
      <c r="F48" s="98"/>
      <c r="G48" s="120"/>
      <c r="H48" s="120"/>
      <c r="I48" s="98"/>
      <c r="J48" s="98"/>
      <c r="K48" s="120"/>
      <c r="L48" s="120"/>
      <c r="M48" s="120"/>
      <c r="N48" s="98"/>
      <c r="O48" s="120"/>
      <c r="P48" s="98"/>
      <c r="Q48" s="98"/>
      <c r="R48" s="120"/>
      <c r="S48" s="120"/>
      <c r="T48" s="120"/>
      <c r="U48" s="98"/>
      <c r="V48" s="120"/>
      <c r="W48" s="120"/>
      <c r="X48" s="83"/>
      <c r="Y48" s="163"/>
      <c r="Z48" s="163"/>
      <c r="AA48" s="163"/>
      <c r="AB48" s="163"/>
      <c r="AC48" s="163"/>
      <c r="AD48" s="163"/>
      <c r="AE48" s="163"/>
      <c r="AF48" s="163"/>
      <c r="AG48" s="163"/>
      <c r="AH48" s="163"/>
      <c r="AI48" s="83"/>
      <c r="AJ48" s="83"/>
      <c r="AK48" s="83"/>
      <c r="AL48" s="163"/>
      <c r="AM48" s="163"/>
      <c r="AN48" s="163"/>
      <c r="AO48" s="163"/>
      <c r="AP48" s="163"/>
      <c r="AQ48" s="163"/>
      <c r="AR48" s="163"/>
      <c r="AS48" s="163"/>
      <c r="AT48" s="163"/>
      <c r="AU48" s="165"/>
      <c r="AV48" s="165"/>
      <c r="AW48" s="165"/>
      <c r="AX48" s="165"/>
      <c r="AY48" s="165"/>
      <c r="AZ48" s="165"/>
      <c r="BA48" s="163"/>
      <c r="BB48" s="163"/>
      <c r="BC48" s="96"/>
      <c r="BD48" s="96"/>
      <c r="BE48" s="96"/>
      <c r="BF48" s="97"/>
      <c r="BG48" s="97"/>
      <c r="BH48" s="97"/>
      <c r="BI48" s="97"/>
      <c r="BJ48" s="97"/>
      <c r="BK48" s="97"/>
      <c r="BL48" s="97"/>
      <c r="BM48" s="97"/>
      <c r="BN48" s="97"/>
      <c r="BO48" s="97"/>
      <c r="BP48" s="97"/>
      <c r="BQ48" s="97"/>
      <c r="BR48" s="97"/>
      <c r="BS48" s="97"/>
      <c r="BT48" s="97"/>
    </row>
    <row r="49" spans="1:72" s="86" customFormat="1" ht="16" customHeight="1">
      <c r="A49" s="98"/>
      <c r="B49" s="98"/>
      <c r="C49" s="98"/>
      <c r="D49" s="98"/>
      <c r="E49" s="98"/>
      <c r="F49" s="98"/>
      <c r="G49" s="120"/>
      <c r="H49" s="120"/>
      <c r="I49" s="98"/>
      <c r="J49" s="98"/>
      <c r="K49" s="120"/>
      <c r="L49" s="120"/>
      <c r="M49" s="120"/>
      <c r="N49" s="98"/>
      <c r="O49" s="120"/>
      <c r="P49" s="98"/>
      <c r="Q49" s="98"/>
      <c r="R49" s="120"/>
      <c r="S49" s="120"/>
      <c r="T49" s="120"/>
      <c r="U49" s="98"/>
      <c r="V49" s="120"/>
      <c r="W49" s="120"/>
      <c r="X49" s="83"/>
      <c r="Y49" s="163"/>
      <c r="Z49" s="163"/>
      <c r="AA49" s="163"/>
      <c r="AB49" s="163"/>
      <c r="AC49" s="163"/>
      <c r="AD49" s="163"/>
      <c r="AE49" s="163"/>
      <c r="AF49" s="163"/>
      <c r="AG49" s="163"/>
      <c r="AH49" s="163"/>
      <c r="AI49" s="83"/>
      <c r="AJ49" s="83"/>
      <c r="AK49" s="83"/>
      <c r="AL49" s="163"/>
      <c r="AM49" s="163"/>
      <c r="AN49" s="163"/>
      <c r="AO49" s="163"/>
      <c r="AP49" s="163"/>
      <c r="AQ49" s="163"/>
      <c r="AR49" s="163"/>
      <c r="AS49" s="163"/>
      <c r="AT49" s="163"/>
      <c r="AU49" s="165"/>
      <c r="AV49" s="165"/>
      <c r="AW49" s="165"/>
      <c r="AX49" s="165"/>
      <c r="AY49" s="165"/>
      <c r="AZ49" s="165"/>
      <c r="BA49" s="163"/>
      <c r="BB49" s="163"/>
      <c r="BC49" s="96"/>
      <c r="BD49" s="96"/>
      <c r="BE49" s="96"/>
      <c r="BF49" s="97"/>
      <c r="BG49" s="97"/>
      <c r="BH49" s="97"/>
      <c r="BI49" s="97"/>
      <c r="BJ49" s="97"/>
      <c r="BK49" s="97"/>
      <c r="BL49" s="97"/>
      <c r="BM49" s="97"/>
      <c r="BN49" s="97"/>
      <c r="BO49" s="97"/>
      <c r="BP49" s="97"/>
      <c r="BQ49" s="97"/>
      <c r="BR49" s="97"/>
      <c r="BS49" s="97"/>
      <c r="BT49" s="97"/>
    </row>
    <row r="50" spans="1:72" s="86" customFormat="1" ht="16" customHeight="1">
      <c r="A50" s="98"/>
      <c r="B50" s="98"/>
      <c r="C50" s="98"/>
      <c r="D50" s="98"/>
      <c r="E50" s="98"/>
      <c r="F50" s="98"/>
      <c r="G50" s="120"/>
      <c r="H50" s="120"/>
      <c r="I50" s="98"/>
      <c r="J50" s="98"/>
      <c r="K50" s="120"/>
      <c r="L50" s="120"/>
      <c r="M50" s="120"/>
      <c r="N50" s="98"/>
      <c r="O50" s="120"/>
      <c r="P50" s="98"/>
      <c r="Q50" s="98"/>
      <c r="R50" s="120"/>
      <c r="S50" s="120"/>
      <c r="T50" s="120"/>
      <c r="U50" s="98"/>
      <c r="V50" s="120"/>
      <c r="W50" s="120"/>
      <c r="X50" s="83"/>
      <c r="Y50" s="163"/>
      <c r="Z50" s="163"/>
      <c r="AA50" s="163"/>
      <c r="AB50" s="163"/>
      <c r="AC50" s="163"/>
      <c r="AD50" s="163"/>
      <c r="AE50" s="163"/>
      <c r="AF50" s="163"/>
      <c r="AG50" s="163"/>
      <c r="AH50" s="163"/>
      <c r="AI50" s="83"/>
      <c r="AJ50" s="83"/>
      <c r="AK50" s="83"/>
      <c r="AL50" s="163"/>
      <c r="AM50" s="163"/>
      <c r="AN50" s="163"/>
      <c r="AO50" s="163"/>
      <c r="AP50" s="163"/>
      <c r="AQ50" s="163"/>
      <c r="AR50" s="163"/>
      <c r="AS50" s="163"/>
      <c r="AT50" s="163"/>
      <c r="AU50" s="83"/>
      <c r="AV50" s="83"/>
      <c r="AW50" s="83"/>
      <c r="AX50" s="83"/>
      <c r="AY50" s="83"/>
      <c r="AZ50" s="83"/>
      <c r="BA50" s="83"/>
      <c r="BB50" s="83"/>
      <c r="BC50" s="83"/>
      <c r="BD50" s="83"/>
      <c r="BE50" s="83"/>
      <c r="BF50" s="82"/>
      <c r="BG50" s="82"/>
      <c r="BH50" s="82"/>
      <c r="BI50" s="82"/>
      <c r="BJ50" s="82"/>
      <c r="BK50" s="82"/>
      <c r="BL50" s="82"/>
      <c r="BM50" s="82"/>
      <c r="BN50" s="82"/>
      <c r="BO50" s="82"/>
      <c r="BP50" s="82"/>
      <c r="BQ50" s="82"/>
      <c r="BR50" s="82"/>
      <c r="BS50" s="82"/>
      <c r="BT50" s="82"/>
    </row>
    <row r="51" spans="1:72" s="86" customFormat="1" ht="16" customHeight="1">
      <c r="A51" s="98"/>
      <c r="B51" s="98"/>
      <c r="C51" s="98"/>
      <c r="D51" s="98"/>
      <c r="E51" s="98"/>
      <c r="F51" s="98"/>
      <c r="G51" s="120"/>
      <c r="H51" s="120"/>
      <c r="I51" s="98"/>
      <c r="J51" s="98"/>
      <c r="K51" s="120"/>
      <c r="L51" s="120"/>
      <c r="M51" s="120"/>
      <c r="N51" s="98"/>
      <c r="O51" s="120"/>
      <c r="P51" s="98"/>
      <c r="Q51" s="98"/>
      <c r="R51" s="120"/>
      <c r="S51" s="120"/>
      <c r="T51" s="120"/>
      <c r="U51" s="98"/>
      <c r="V51" s="120"/>
      <c r="W51" s="120"/>
      <c r="X51" s="83"/>
      <c r="Y51" s="163"/>
      <c r="Z51" s="163"/>
      <c r="AA51" s="163"/>
      <c r="AB51" s="163"/>
      <c r="AC51" s="163"/>
      <c r="AD51" s="163"/>
      <c r="AE51" s="163"/>
      <c r="AF51" s="163"/>
      <c r="AG51" s="163"/>
      <c r="AH51" s="163"/>
      <c r="AI51" s="83"/>
      <c r="AJ51" s="83"/>
      <c r="AK51" s="83"/>
      <c r="AL51" s="163"/>
      <c r="AM51" s="163"/>
      <c r="AN51" s="163"/>
      <c r="AO51" s="163"/>
      <c r="AP51" s="163"/>
      <c r="AQ51" s="163"/>
      <c r="AR51" s="163"/>
      <c r="AS51" s="163"/>
      <c r="AT51" s="16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row>
    <row r="52" spans="1:72" s="86" customFormat="1" ht="16" customHeight="1">
      <c r="A52" s="108"/>
      <c r="B52" s="108"/>
      <c r="C52" s="108"/>
      <c r="D52" s="108"/>
      <c r="E52" s="108"/>
      <c r="F52" s="108"/>
      <c r="G52" s="112"/>
      <c r="H52" s="112"/>
      <c r="I52" s="108"/>
      <c r="J52" s="108"/>
      <c r="K52" s="112"/>
      <c r="L52" s="112"/>
      <c r="M52" s="112"/>
      <c r="N52" s="108"/>
      <c r="O52" s="112"/>
      <c r="P52" s="108"/>
      <c r="Q52" s="108"/>
      <c r="R52" s="112"/>
      <c r="S52" s="112"/>
      <c r="T52" s="112"/>
      <c r="U52" s="108"/>
      <c r="V52" s="112"/>
      <c r="W52" s="112"/>
      <c r="X52" s="83"/>
      <c r="Y52" s="163"/>
      <c r="Z52" s="163"/>
      <c r="AA52" s="163"/>
      <c r="AB52" s="163"/>
      <c r="AC52" s="163"/>
      <c r="AD52" s="163"/>
      <c r="AE52" s="163"/>
      <c r="AF52" s="163"/>
      <c r="AG52" s="163"/>
      <c r="AH52" s="163"/>
      <c r="AI52" s="83"/>
      <c r="AJ52" s="83"/>
      <c r="AK52" s="83"/>
      <c r="AL52" s="163"/>
      <c r="AM52" s="163"/>
      <c r="AN52" s="163"/>
      <c r="AO52" s="163"/>
      <c r="AP52" s="163"/>
      <c r="AQ52" s="163"/>
      <c r="AR52" s="163"/>
      <c r="AS52" s="163"/>
      <c r="AT52" s="16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row>
    <row r="53" spans="1:72" s="86" customFormat="1" ht="16" customHeight="1">
      <c r="A53" s="108"/>
      <c r="B53" s="108"/>
      <c r="C53" s="108"/>
      <c r="D53" s="108"/>
      <c r="E53" s="108"/>
      <c r="F53" s="108"/>
      <c r="G53" s="112"/>
      <c r="H53" s="112"/>
      <c r="I53" s="108"/>
      <c r="J53" s="108"/>
      <c r="K53" s="112"/>
      <c r="L53" s="112"/>
      <c r="M53" s="112"/>
      <c r="N53" s="108"/>
      <c r="O53" s="112"/>
      <c r="P53" s="108"/>
      <c r="Q53" s="108"/>
      <c r="R53" s="112"/>
      <c r="S53" s="112"/>
      <c r="T53" s="112"/>
      <c r="U53" s="108"/>
      <c r="V53" s="112"/>
      <c r="W53" s="112"/>
      <c r="X53" s="83"/>
      <c r="Y53" s="163"/>
      <c r="Z53" s="163"/>
      <c r="AA53" s="163"/>
      <c r="AB53" s="163"/>
      <c r="AC53" s="163"/>
      <c r="AD53" s="163"/>
      <c r="AE53" s="163"/>
      <c r="AF53" s="163"/>
      <c r="AG53" s="163"/>
      <c r="AH53" s="163"/>
      <c r="AI53" s="83"/>
      <c r="AJ53" s="83"/>
      <c r="AK53" s="83"/>
      <c r="AL53" s="163"/>
      <c r="AM53" s="163"/>
      <c r="AN53" s="163"/>
      <c r="AO53" s="163"/>
      <c r="AP53" s="163"/>
      <c r="AQ53" s="163"/>
      <c r="AR53" s="163"/>
      <c r="AS53" s="163"/>
      <c r="AT53" s="16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row>
    <row r="54" spans="1:72" s="86" customFormat="1" ht="16" customHeight="1">
      <c r="A54" s="108"/>
      <c r="B54" s="108"/>
      <c r="C54" s="108"/>
      <c r="D54" s="108"/>
      <c r="E54" s="108"/>
      <c r="F54" s="108"/>
      <c r="G54" s="112"/>
      <c r="H54" s="112"/>
      <c r="I54" s="108"/>
      <c r="J54" s="108"/>
      <c r="K54" s="112"/>
      <c r="L54" s="112"/>
      <c r="M54" s="112"/>
      <c r="N54" s="108"/>
      <c r="O54" s="112"/>
      <c r="P54" s="108"/>
      <c r="Q54" s="108"/>
      <c r="R54" s="112"/>
      <c r="S54" s="112"/>
      <c r="T54" s="112"/>
      <c r="U54" s="108"/>
      <c r="V54" s="112"/>
      <c r="W54" s="112"/>
      <c r="X54" s="83"/>
      <c r="Y54" s="163"/>
      <c r="Z54" s="163"/>
      <c r="AA54" s="163"/>
      <c r="AB54" s="163"/>
      <c r="AC54" s="163"/>
      <c r="AD54" s="163"/>
      <c r="AE54" s="163"/>
      <c r="AF54" s="163"/>
      <c r="AG54" s="163"/>
      <c r="AH54" s="163"/>
      <c r="AI54" s="83"/>
      <c r="AJ54" s="83"/>
      <c r="AK54" s="83"/>
      <c r="AL54" s="163"/>
      <c r="AM54" s="163"/>
      <c r="AN54" s="163"/>
      <c r="AO54" s="163"/>
      <c r="AP54" s="163"/>
      <c r="AQ54" s="163"/>
      <c r="AR54" s="163"/>
      <c r="AS54" s="163"/>
      <c r="AT54" s="16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row>
    <row r="55" spans="1:72" s="86" customFormat="1" ht="16" customHeight="1">
      <c r="A55" s="108"/>
      <c r="B55" s="108"/>
      <c r="C55" s="108"/>
      <c r="D55" s="108"/>
      <c r="E55" s="108"/>
      <c r="F55" s="108"/>
      <c r="G55" s="112"/>
      <c r="H55" s="112"/>
      <c r="I55" s="108"/>
      <c r="J55" s="108"/>
      <c r="K55" s="112"/>
      <c r="L55" s="112"/>
      <c r="M55" s="112"/>
      <c r="N55" s="108"/>
      <c r="O55" s="112"/>
      <c r="P55" s="108"/>
      <c r="Q55" s="108"/>
      <c r="R55" s="112"/>
      <c r="S55" s="112"/>
      <c r="T55" s="112"/>
      <c r="U55" s="108"/>
      <c r="V55" s="112"/>
      <c r="W55" s="112"/>
      <c r="X55" s="83"/>
      <c r="Y55" s="163"/>
      <c r="Z55" s="163"/>
      <c r="AA55" s="163"/>
      <c r="AB55" s="163"/>
      <c r="AC55" s="163"/>
      <c r="AD55" s="163"/>
      <c r="AE55" s="163"/>
      <c r="AF55" s="163"/>
      <c r="AG55" s="163"/>
      <c r="AH55" s="163"/>
      <c r="AI55" s="83"/>
      <c r="AJ55" s="83"/>
      <c r="AK55" s="83"/>
      <c r="AL55" s="163"/>
      <c r="AM55" s="163"/>
      <c r="AN55" s="163"/>
      <c r="AO55" s="163"/>
      <c r="AP55" s="163"/>
      <c r="AQ55" s="163"/>
      <c r="AR55" s="163"/>
      <c r="AS55" s="163"/>
      <c r="AT55" s="16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row>
    <row r="56" spans="1:72" s="86" customFormat="1" ht="16" customHeight="1">
      <c r="A56" s="98"/>
      <c r="B56" s="98"/>
      <c r="C56" s="98"/>
      <c r="D56" s="98"/>
      <c r="E56" s="98"/>
      <c r="F56" s="98"/>
      <c r="G56" s="120"/>
      <c r="H56" s="120"/>
      <c r="I56" s="98"/>
      <c r="J56" s="98"/>
      <c r="K56" s="120"/>
      <c r="L56" s="120"/>
      <c r="M56" s="120"/>
      <c r="N56" s="98"/>
      <c r="O56" s="120"/>
      <c r="P56" s="98"/>
      <c r="Q56" s="98"/>
      <c r="R56" s="120"/>
      <c r="S56" s="120"/>
      <c r="T56" s="120"/>
      <c r="U56" s="98"/>
      <c r="V56" s="120"/>
      <c r="W56" s="120"/>
      <c r="X56" s="83"/>
      <c r="Y56" s="163"/>
      <c r="Z56" s="163"/>
      <c r="AA56" s="163"/>
      <c r="AB56" s="163"/>
      <c r="AC56" s="163"/>
      <c r="AD56" s="163"/>
      <c r="AE56" s="163"/>
      <c r="AF56" s="163"/>
      <c r="AG56" s="163"/>
      <c r="AH56" s="163"/>
      <c r="AI56" s="83"/>
      <c r="AJ56" s="83"/>
      <c r="AK56" s="83"/>
      <c r="AL56" s="163"/>
      <c r="AM56" s="163"/>
      <c r="AN56" s="163"/>
      <c r="AO56" s="163"/>
      <c r="AP56" s="163"/>
      <c r="AQ56" s="163"/>
      <c r="AR56" s="163"/>
      <c r="AS56" s="163"/>
      <c r="AT56" s="16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row>
    <row r="57" spans="1:72" s="86" customFormat="1">
      <c r="A57" s="83"/>
      <c r="B57" s="83"/>
      <c r="C57" s="83"/>
      <c r="D57" s="83"/>
      <c r="E57" s="83"/>
      <c r="F57" s="83"/>
      <c r="G57" s="83"/>
      <c r="H57" s="83"/>
      <c r="I57" s="83"/>
      <c r="J57" s="83"/>
      <c r="K57" s="83"/>
      <c r="L57" s="83"/>
      <c r="M57" s="83"/>
      <c r="N57" s="83"/>
      <c r="O57" s="83"/>
      <c r="P57" s="83"/>
      <c r="Q57" s="83"/>
      <c r="R57" s="83"/>
      <c r="S57" s="83"/>
      <c r="T57" s="83"/>
      <c r="U57" s="83"/>
      <c r="V57" s="83"/>
      <c r="W57" s="83"/>
      <c r="X57" s="83"/>
      <c r="Y57" s="163"/>
      <c r="Z57" s="163"/>
      <c r="AA57" s="163"/>
      <c r="AB57" s="163"/>
      <c r="AC57" s="163"/>
      <c r="AD57" s="163"/>
      <c r="AE57" s="163"/>
      <c r="AF57" s="163"/>
      <c r="AG57" s="163"/>
      <c r="AH57" s="163"/>
      <c r="AI57" s="83"/>
      <c r="AJ57" s="83"/>
      <c r="AK57" s="83"/>
      <c r="AL57" s="163"/>
      <c r="AM57" s="163"/>
      <c r="AN57" s="163"/>
      <c r="AO57" s="163"/>
      <c r="AP57" s="163"/>
      <c r="AQ57" s="163"/>
      <c r="AR57" s="163"/>
      <c r="AS57" s="163"/>
      <c r="AT57" s="16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row>
    <row r="58" spans="1:72" s="86" customFormat="1">
      <c r="A58" s="83"/>
      <c r="B58" s="83"/>
      <c r="C58" s="83"/>
      <c r="D58" s="116"/>
      <c r="E58" s="116"/>
      <c r="F58" s="116"/>
      <c r="G58" s="116"/>
      <c r="H58" s="107"/>
      <c r="I58" s="90"/>
      <c r="J58" s="90"/>
      <c r="K58" s="90"/>
      <c r="L58" s="90"/>
      <c r="M58" s="90"/>
      <c r="N58" s="90"/>
      <c r="O58" s="83"/>
      <c r="P58" s="83"/>
      <c r="Q58" s="83"/>
      <c r="R58" s="115"/>
      <c r="S58" s="115"/>
      <c r="T58" s="107"/>
      <c r="U58" s="83"/>
      <c r="V58" s="107"/>
      <c r="W58" s="83"/>
      <c r="X58" s="83"/>
      <c r="Y58" s="163"/>
      <c r="Z58" s="163"/>
      <c r="AA58" s="163"/>
      <c r="AB58" s="163"/>
      <c r="AC58" s="163"/>
      <c r="AD58" s="163"/>
      <c r="AE58" s="163"/>
      <c r="AF58" s="163"/>
      <c r="AG58" s="163"/>
      <c r="AH58" s="163"/>
      <c r="AI58" s="83"/>
      <c r="AJ58" s="83"/>
      <c r="AK58" s="83"/>
      <c r="AL58" s="163"/>
      <c r="AM58" s="163"/>
      <c r="AN58" s="163"/>
      <c r="AO58" s="163"/>
      <c r="AP58" s="163"/>
      <c r="AQ58" s="163"/>
      <c r="AR58" s="163"/>
      <c r="AS58" s="163"/>
      <c r="AT58" s="16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row>
    <row r="59" spans="1:72" s="86" customFormat="1" ht="17" customHeight="1">
      <c r="A59" s="83"/>
      <c r="B59" s="83"/>
      <c r="C59" s="83"/>
      <c r="D59" s="116"/>
      <c r="E59" s="83"/>
      <c r="F59" s="83"/>
      <c r="G59" s="118"/>
      <c r="H59" s="118"/>
      <c r="I59" s="90"/>
      <c r="J59" s="90"/>
      <c r="K59" s="83"/>
      <c r="L59" s="83"/>
      <c r="M59" s="83"/>
      <c r="N59" s="83"/>
      <c r="O59" s="116"/>
      <c r="P59" s="116"/>
      <c r="Q59" s="90"/>
      <c r="R59" s="117"/>
      <c r="S59" s="117"/>
      <c r="T59" s="83"/>
      <c r="U59" s="83"/>
      <c r="V59" s="83"/>
      <c r="W59" s="83"/>
      <c r="X59" s="83"/>
      <c r="Y59" s="163"/>
      <c r="Z59" s="163"/>
      <c r="AA59" s="163"/>
      <c r="AB59" s="163"/>
      <c r="AC59" s="163"/>
      <c r="AD59" s="163"/>
      <c r="AE59" s="163"/>
      <c r="AF59" s="163"/>
      <c r="AG59" s="163"/>
      <c r="AH59" s="163"/>
      <c r="AI59" s="83"/>
      <c r="AJ59" s="83"/>
      <c r="AK59" s="83"/>
      <c r="AL59" s="163"/>
      <c r="AM59" s="163"/>
      <c r="AN59" s="163"/>
      <c r="AO59" s="163"/>
      <c r="AP59" s="163"/>
      <c r="AQ59" s="163"/>
      <c r="AR59" s="163"/>
      <c r="AS59" s="163"/>
      <c r="AT59" s="16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row>
    <row r="60" spans="1:72" s="86" customFormat="1" ht="14.5">
      <c r="A60" s="83"/>
      <c r="B60" s="83"/>
      <c r="C60" s="83"/>
      <c r="D60" s="118"/>
      <c r="E60" s="83"/>
      <c r="F60" s="83"/>
      <c r="G60" s="83"/>
      <c r="H60" s="83"/>
      <c r="I60" s="90"/>
      <c r="J60" s="90"/>
      <c r="K60" s="90"/>
      <c r="L60" s="116"/>
      <c r="M60" s="116"/>
      <c r="N60" s="90"/>
      <c r="O60" s="90"/>
      <c r="P60" s="90"/>
      <c r="Q60" s="90"/>
      <c r="R60" s="90"/>
      <c r="S60" s="90"/>
      <c r="T60" s="83"/>
      <c r="U60" s="83"/>
      <c r="V60" s="83"/>
      <c r="W60" s="83"/>
      <c r="X60" s="83"/>
      <c r="Y60" s="163"/>
      <c r="Z60" s="163"/>
      <c r="AA60" s="163"/>
      <c r="AB60" s="163"/>
      <c r="AC60" s="163"/>
      <c r="AD60" s="163"/>
      <c r="AE60" s="163"/>
      <c r="AF60" s="163"/>
      <c r="AG60" s="163"/>
      <c r="AH60" s="163"/>
      <c r="AI60" s="83"/>
      <c r="AJ60" s="83"/>
      <c r="AK60" s="83"/>
      <c r="AL60" s="163"/>
      <c r="AM60" s="163"/>
      <c r="AN60" s="163"/>
      <c r="AO60" s="163"/>
      <c r="AP60" s="163"/>
      <c r="AQ60" s="163"/>
      <c r="AR60" s="163"/>
      <c r="AS60" s="163"/>
      <c r="AT60" s="16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row>
    <row r="61" spans="1:72" s="86" customFormat="1" ht="19" customHeight="1">
      <c r="A61" s="83"/>
      <c r="B61" s="83"/>
      <c r="C61" s="83"/>
      <c r="D61" s="119"/>
      <c r="E61" s="83"/>
      <c r="F61" s="83"/>
      <c r="G61" s="107"/>
      <c r="H61" s="111"/>
      <c r="I61" s="83"/>
      <c r="J61" s="83"/>
      <c r="K61" s="83"/>
      <c r="L61" s="83"/>
      <c r="M61" s="83"/>
      <c r="N61" s="83"/>
      <c r="O61" s="83"/>
      <c r="P61" s="83"/>
      <c r="Q61" s="83"/>
      <c r="R61" s="83"/>
      <c r="S61" s="83"/>
      <c r="T61" s="83"/>
      <c r="U61" s="83"/>
      <c r="V61" s="83"/>
      <c r="W61" s="83"/>
      <c r="X61" s="83"/>
      <c r="Y61" s="163"/>
      <c r="Z61" s="163"/>
      <c r="AA61" s="163"/>
      <c r="AB61" s="163"/>
      <c r="AC61" s="163"/>
      <c r="AD61" s="163"/>
      <c r="AE61" s="163"/>
      <c r="AF61" s="163"/>
      <c r="AG61" s="163"/>
      <c r="AH61" s="163"/>
      <c r="AI61" s="83"/>
      <c r="AJ61" s="83"/>
      <c r="AK61" s="83"/>
      <c r="AL61" s="163"/>
      <c r="AM61" s="163"/>
      <c r="AN61" s="163"/>
      <c r="AO61" s="163"/>
      <c r="AP61" s="163"/>
      <c r="AQ61" s="163"/>
      <c r="AR61" s="163"/>
      <c r="AS61" s="163"/>
      <c r="AT61" s="16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row>
    <row r="64" spans="1:72">
      <c r="R64" s="73" t="s">
        <v>25</v>
      </c>
    </row>
  </sheetData>
  <mergeCells count="64">
    <mergeCell ref="A22:D22"/>
    <mergeCell ref="E22:Q22"/>
    <mergeCell ref="R22:U22"/>
    <mergeCell ref="A19:D19"/>
    <mergeCell ref="E19:Q19"/>
    <mergeCell ref="A20:D20"/>
    <mergeCell ref="E20:Q20"/>
    <mergeCell ref="R20:U20"/>
    <mergeCell ref="A21:D21"/>
    <mergeCell ref="E21:Q21"/>
    <mergeCell ref="R21:U21"/>
    <mergeCell ref="A18:D18"/>
    <mergeCell ref="E18:Q18"/>
    <mergeCell ref="A11:D11"/>
    <mergeCell ref="E11:Q11"/>
    <mergeCell ref="R11:U11"/>
    <mergeCell ref="A12:D12"/>
    <mergeCell ref="E12:Q12"/>
    <mergeCell ref="R12:U12"/>
    <mergeCell ref="R15:U15"/>
    <mergeCell ref="A16:D16"/>
    <mergeCell ref="E16:Q16"/>
    <mergeCell ref="R16:U16"/>
    <mergeCell ref="A17:D17"/>
    <mergeCell ref="E17:Q17"/>
    <mergeCell ref="R17:U17"/>
    <mergeCell ref="A9:D9"/>
    <mergeCell ref="E9:Q9"/>
    <mergeCell ref="R9:U9"/>
    <mergeCell ref="A10:D10"/>
    <mergeCell ref="E10:Q10"/>
    <mergeCell ref="R10:U10"/>
    <mergeCell ref="A7:D7"/>
    <mergeCell ref="E7:Q7"/>
    <mergeCell ref="R7:U7"/>
    <mergeCell ref="A8:D8"/>
    <mergeCell ref="E8:Q8"/>
    <mergeCell ref="R8:U8"/>
    <mergeCell ref="E28:T28"/>
    <mergeCell ref="E29:T29"/>
    <mergeCell ref="E30:T30"/>
    <mergeCell ref="E31:T31"/>
    <mergeCell ref="A23:D23"/>
    <mergeCell ref="E23:Q23"/>
    <mergeCell ref="R23:U23"/>
    <mergeCell ref="A24:D24"/>
    <mergeCell ref="E24:Q24"/>
    <mergeCell ref="R24:U24"/>
    <mergeCell ref="AU5:AY5"/>
    <mergeCell ref="AL5:AN5"/>
    <mergeCell ref="AO5:AQ5"/>
    <mergeCell ref="AT5:AT6"/>
    <mergeCell ref="E27:T27"/>
    <mergeCell ref="R19:U19"/>
    <mergeCell ref="R18:U18"/>
    <mergeCell ref="A5:W5"/>
    <mergeCell ref="A13:D13"/>
    <mergeCell ref="E13:Q13"/>
    <mergeCell ref="R13:U13"/>
    <mergeCell ref="A14:D14"/>
    <mergeCell ref="E14:Q14"/>
    <mergeCell ref="R14:U14"/>
    <mergeCell ref="A15:D15"/>
    <mergeCell ref="E15:Q15"/>
  </mergeCells>
  <phoneticPr fontId="99" type="noConversion"/>
  <printOptions horizontalCentered="1" verticalCentered="1"/>
  <pageMargins left="0.19685039370078741" right="0.19685039370078741" top="0.39370078740157483" bottom="0.39370078740157483" header="0.31496062992125984" footer="0.31496062992125984"/>
  <pageSetup paperSize="9" scale="74"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1375D3-DF16-489B-B574-4FDA06EA72E0}">
  <sheetPr codeName="工作表1"/>
  <dimension ref="A1:O44"/>
  <sheetViews>
    <sheetView workbookViewId="0">
      <selection activeCell="O2" sqref="M2:O2"/>
    </sheetView>
  </sheetViews>
  <sheetFormatPr defaultRowHeight="17"/>
  <cols>
    <col min="1" max="3" width="8.7265625" style="178"/>
    <col min="9" max="9" width="20.08984375" bestFit="1" customWidth="1"/>
    <col min="10" max="10" width="18.453125" bestFit="1" customWidth="1"/>
    <col min="11" max="11" width="18.6328125" bestFit="1" customWidth="1"/>
  </cols>
  <sheetData>
    <row r="1" spans="1:15" ht="19.5">
      <c r="A1" s="171"/>
      <c r="B1" s="171"/>
      <c r="C1" s="171"/>
    </row>
    <row r="2" spans="1:15" ht="20.5">
      <c r="A2" s="172"/>
      <c r="B2" s="173" t="s">
        <v>309</v>
      </c>
      <c r="C2" s="172"/>
      <c r="I2" s="173" t="s">
        <v>313</v>
      </c>
      <c r="J2" s="173" t="s">
        <v>314</v>
      </c>
      <c r="K2" s="173" t="s">
        <v>315</v>
      </c>
      <c r="M2" s="180">
        <v>1</v>
      </c>
      <c r="N2" s="180">
        <v>8</v>
      </c>
      <c r="O2" s="180">
        <v>6</v>
      </c>
    </row>
    <row r="3" spans="1:15" ht="20.5">
      <c r="A3" s="172"/>
      <c r="B3" s="173" t="s">
        <v>310</v>
      </c>
      <c r="C3" s="172"/>
      <c r="I3" s="173"/>
      <c r="J3" s="173"/>
      <c r="K3" s="173"/>
    </row>
    <row r="4" spans="1:15" ht="20.5">
      <c r="A4" s="172"/>
      <c r="B4" s="174" t="s">
        <v>311</v>
      </c>
      <c r="C4" s="172"/>
      <c r="I4" s="173"/>
      <c r="J4" s="173"/>
      <c r="K4" s="173"/>
    </row>
    <row r="5" spans="1:15" ht="20.5">
      <c r="A5" s="312" t="s">
        <v>312</v>
      </c>
      <c r="B5" s="312"/>
      <c r="C5" s="179" t="s">
        <v>327</v>
      </c>
      <c r="I5" s="173"/>
      <c r="J5" s="173"/>
      <c r="K5" s="173"/>
    </row>
    <row r="6" spans="1:15" ht="20.5">
      <c r="A6" s="173" t="s">
        <v>313</v>
      </c>
      <c r="B6" s="172"/>
      <c r="C6" s="180">
        <v>1</v>
      </c>
    </row>
    <row r="7" spans="1:15" ht="20.5">
      <c r="A7" s="173" t="s">
        <v>314</v>
      </c>
      <c r="B7" s="172"/>
      <c r="C7" s="180">
        <v>8</v>
      </c>
    </row>
    <row r="8" spans="1:15" ht="20.5">
      <c r="A8" s="173" t="s">
        <v>315</v>
      </c>
      <c r="B8" s="172"/>
      <c r="C8" s="180">
        <v>6</v>
      </c>
    </row>
    <row r="9" spans="1:15" ht="20.5">
      <c r="A9" s="173"/>
      <c r="B9" s="172"/>
      <c r="C9" s="181" t="s">
        <v>328</v>
      </c>
    </row>
    <row r="10" spans="1:15" ht="19.5">
      <c r="A10" s="175" t="s">
        <v>316</v>
      </c>
      <c r="B10" s="176">
        <v>2180</v>
      </c>
      <c r="C10" s="171"/>
    </row>
    <row r="11" spans="1:15" ht="19.5">
      <c r="A11" s="175" t="s">
        <v>317</v>
      </c>
      <c r="B11" s="176">
        <v>19730</v>
      </c>
      <c r="C11" s="171"/>
    </row>
    <row r="12" spans="1:15" ht="19.5">
      <c r="A12" s="177" t="s">
        <v>318</v>
      </c>
      <c r="B12" s="176">
        <v>22110</v>
      </c>
      <c r="C12" s="171"/>
    </row>
    <row r="13" spans="1:15" ht="20.5">
      <c r="A13" s="173" t="s">
        <v>319</v>
      </c>
      <c r="B13" s="172"/>
      <c r="C13" s="180">
        <v>4</v>
      </c>
    </row>
    <row r="14" spans="1:15" ht="20.5">
      <c r="A14" s="173" t="s">
        <v>320</v>
      </c>
      <c r="B14" s="172"/>
      <c r="C14" s="180">
        <v>5</v>
      </c>
    </row>
    <row r="15" spans="1:15" ht="20.5">
      <c r="A15" s="173" t="s">
        <v>315</v>
      </c>
      <c r="B15" s="172"/>
      <c r="C15" s="180">
        <v>11</v>
      </c>
    </row>
    <row r="16" spans="1:15" ht="20.5">
      <c r="A16" s="173"/>
      <c r="B16" s="172"/>
      <c r="C16" s="181" t="s">
        <v>328</v>
      </c>
    </row>
    <row r="17" spans="1:3" ht="19.5">
      <c r="A17" s="175" t="s">
        <v>316</v>
      </c>
      <c r="B17" s="176">
        <v>2200</v>
      </c>
      <c r="C17" s="171"/>
    </row>
    <row r="18" spans="1:3" ht="19.5">
      <c r="A18" s="175" t="s">
        <v>317</v>
      </c>
      <c r="B18" s="176">
        <v>20000</v>
      </c>
      <c r="C18" s="171"/>
    </row>
    <row r="19" spans="1:3" ht="19.5">
      <c r="A19" s="177" t="s">
        <v>318</v>
      </c>
      <c r="B19" s="176">
        <v>22400</v>
      </c>
      <c r="C19" s="171"/>
    </row>
    <row r="20" spans="1:3" ht="20.5">
      <c r="A20" s="173" t="s">
        <v>321</v>
      </c>
      <c r="B20" s="172"/>
      <c r="C20" s="180">
        <v>7</v>
      </c>
    </row>
    <row r="21" spans="1:3" ht="20.5">
      <c r="A21" s="173" t="s">
        <v>322</v>
      </c>
      <c r="B21" s="172"/>
      <c r="C21" s="180">
        <v>2</v>
      </c>
    </row>
    <row r="22" spans="1:3" ht="20.5">
      <c r="A22" s="173" t="s">
        <v>315</v>
      </c>
      <c r="B22" s="172"/>
      <c r="C22" s="180">
        <v>9</v>
      </c>
    </row>
    <row r="23" spans="1:3" ht="20.5">
      <c r="A23" s="173"/>
      <c r="B23" s="172"/>
      <c r="C23" s="181" t="s">
        <v>328</v>
      </c>
    </row>
    <row r="24" spans="1:3" ht="19.5">
      <c r="A24" s="175" t="s">
        <v>316</v>
      </c>
      <c r="B24" s="176">
        <v>2280</v>
      </c>
      <c r="C24" s="171"/>
    </row>
    <row r="25" spans="1:3" ht="19.5">
      <c r="A25" s="175" t="s">
        <v>317</v>
      </c>
      <c r="B25" s="176">
        <v>19780</v>
      </c>
      <c r="C25" s="171"/>
    </row>
    <row r="26" spans="1:3" ht="19.5">
      <c r="A26" s="177" t="s">
        <v>318</v>
      </c>
      <c r="B26" s="176">
        <v>22260</v>
      </c>
      <c r="C26" s="171"/>
    </row>
    <row r="27" spans="1:3" ht="20.5">
      <c r="A27" s="173" t="s">
        <v>323</v>
      </c>
      <c r="B27" s="172"/>
      <c r="C27" s="180">
        <v>10</v>
      </c>
    </row>
    <row r="28" spans="1:3" ht="20.5">
      <c r="A28" s="173" t="s">
        <v>324</v>
      </c>
      <c r="B28" s="172"/>
      <c r="C28" s="180">
        <v>12</v>
      </c>
    </row>
    <row r="29" spans="1:3" ht="20.5">
      <c r="A29" s="173" t="s">
        <v>315</v>
      </c>
      <c r="B29" s="172"/>
      <c r="C29" s="180">
        <v>3</v>
      </c>
    </row>
    <row r="30" spans="1:3" ht="20.5">
      <c r="A30" s="173"/>
      <c r="B30" s="172"/>
      <c r="C30" s="181" t="s">
        <v>328</v>
      </c>
    </row>
    <row r="31" spans="1:3" ht="19.5">
      <c r="A31" s="175" t="s">
        <v>316</v>
      </c>
      <c r="B31" s="176">
        <v>2280</v>
      </c>
      <c r="C31" s="171"/>
    </row>
    <row r="32" spans="1:3" ht="19.5">
      <c r="A32" s="175" t="s">
        <v>317</v>
      </c>
      <c r="B32" s="176">
        <v>20050</v>
      </c>
      <c r="C32" s="171"/>
    </row>
    <row r="33" spans="1:3" ht="19.5">
      <c r="A33" s="177" t="s">
        <v>318</v>
      </c>
      <c r="B33" s="176">
        <v>22530</v>
      </c>
      <c r="C33" s="171"/>
    </row>
    <row r="34" spans="1:3" ht="20.5">
      <c r="A34" s="173" t="s">
        <v>325</v>
      </c>
      <c r="B34" s="172"/>
      <c r="C34" s="180" t="s">
        <v>329</v>
      </c>
    </row>
    <row r="35" spans="1:3" ht="20.5">
      <c r="A35" s="173" t="s">
        <v>326</v>
      </c>
      <c r="B35" s="172"/>
      <c r="C35" s="180" t="s">
        <v>330</v>
      </c>
    </row>
    <row r="36" spans="1:3" ht="20.5">
      <c r="A36" s="173" t="s">
        <v>315</v>
      </c>
      <c r="B36" s="172"/>
      <c r="C36" s="180" t="s">
        <v>331</v>
      </c>
    </row>
    <row r="37" spans="1:3" ht="20.5">
      <c r="A37" s="173"/>
      <c r="B37" s="172"/>
      <c r="C37" s="181" t="s">
        <v>328</v>
      </c>
    </row>
    <row r="38" spans="1:3" ht="19.5">
      <c r="A38" s="175" t="s">
        <v>316</v>
      </c>
      <c r="B38" s="176">
        <v>2185</v>
      </c>
      <c r="C38" s="171"/>
    </row>
    <row r="39" spans="1:3" ht="19.5">
      <c r="A39" s="175" t="s">
        <v>317</v>
      </c>
      <c r="B39" s="176">
        <v>18875</v>
      </c>
      <c r="C39" s="171"/>
    </row>
    <row r="40" spans="1:3" ht="19.5">
      <c r="A40" s="177" t="s">
        <v>318</v>
      </c>
      <c r="B40" s="176">
        <v>21260</v>
      </c>
      <c r="C40" s="171"/>
    </row>
    <row r="41" spans="1:3" ht="18">
      <c r="A41" s="172"/>
      <c r="B41" s="172"/>
      <c r="C41" s="182" t="s">
        <v>332</v>
      </c>
    </row>
    <row r="42" spans="1:3">
      <c r="A42" s="172"/>
      <c r="B42" s="172"/>
      <c r="C42" s="172"/>
    </row>
    <row r="43" spans="1:3">
      <c r="A43" s="172"/>
      <c r="B43" s="172"/>
      <c r="C43" s="172"/>
    </row>
    <row r="44" spans="1:3">
      <c r="A44" s="172"/>
      <c r="B44" s="172"/>
      <c r="C44" s="172"/>
    </row>
  </sheetData>
  <mergeCells count="1">
    <mergeCell ref="A5:B5"/>
  </mergeCells>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EEE44-756E-484F-A489-2704844B7B9C}">
  <sheetPr codeName="工作表6"/>
  <dimension ref="A1:L125"/>
  <sheetViews>
    <sheetView zoomScale="85" zoomScaleNormal="85" workbookViewId="0">
      <selection activeCell="E9" sqref="E9"/>
    </sheetView>
  </sheetViews>
  <sheetFormatPr defaultRowHeight="15.5"/>
  <cols>
    <col min="1" max="1" width="13.08984375" style="133" customWidth="1"/>
    <col min="2" max="2" width="31.453125" style="133" customWidth="1"/>
    <col min="3" max="3" width="4.7265625" style="133" bestFit="1" customWidth="1"/>
    <col min="4" max="4" width="6.36328125" style="133" customWidth="1"/>
    <col min="5" max="5" width="15.81640625" style="133" customWidth="1"/>
    <col min="6" max="6" width="54.90625" style="133" customWidth="1"/>
    <col min="7" max="7" width="65.453125" style="81" customWidth="1"/>
    <col min="8" max="8" width="8.26953125" style="133" customWidth="1"/>
    <col min="9" max="9" width="25.7265625" style="133" customWidth="1"/>
    <col min="10" max="10" width="6.90625" style="133" customWidth="1"/>
    <col min="11" max="11" width="8.7265625" style="81"/>
    <col min="12" max="16384" width="8.7265625" style="133"/>
  </cols>
  <sheetData>
    <row r="1" spans="1:11">
      <c r="B1" s="132" t="s">
        <v>163</v>
      </c>
      <c r="C1" s="132"/>
      <c r="D1" s="132"/>
      <c r="E1" s="132"/>
      <c r="F1" s="132" t="s">
        <v>164</v>
      </c>
      <c r="G1" s="234" t="s">
        <v>165</v>
      </c>
      <c r="H1" s="132"/>
      <c r="I1" s="132" t="s">
        <v>166</v>
      </c>
      <c r="J1" s="132"/>
      <c r="K1" s="234" t="s">
        <v>167</v>
      </c>
    </row>
    <row r="2" spans="1:11">
      <c r="A2" s="133" t="s">
        <v>646</v>
      </c>
      <c r="B2" s="133" t="s">
        <v>645</v>
      </c>
      <c r="C2" s="133" t="s">
        <v>646</v>
      </c>
      <c r="D2" s="133" t="s">
        <v>181</v>
      </c>
      <c r="E2" s="133" t="str">
        <f t="shared" ref="E2:E33" si="0">LEFT(F2, FIND(" ", F2 &amp; " ") - 1)</f>
        <v>Acciai</v>
      </c>
      <c r="F2" s="81" t="s">
        <v>112</v>
      </c>
      <c r="G2" s="81" t="s">
        <v>145</v>
      </c>
      <c r="I2" s="81" t="s">
        <v>113</v>
      </c>
      <c r="K2" s="81" t="s">
        <v>114</v>
      </c>
    </row>
    <row r="3" spans="1:11">
      <c r="C3" s="133" t="s">
        <v>646</v>
      </c>
      <c r="D3" s="133" t="s">
        <v>181</v>
      </c>
      <c r="E3" s="133" t="str">
        <f t="shared" si="0"/>
        <v>Acciai</v>
      </c>
      <c r="F3" s="81" t="s">
        <v>112</v>
      </c>
      <c r="G3" s="81" t="s">
        <v>552</v>
      </c>
      <c r="I3" s="81" t="s">
        <v>113</v>
      </c>
      <c r="K3" s="81" t="s">
        <v>553</v>
      </c>
    </row>
    <row r="4" spans="1:11">
      <c r="C4" s="133" t="s">
        <v>646</v>
      </c>
      <c r="D4" s="133" t="s">
        <v>181</v>
      </c>
      <c r="E4" s="133" t="str">
        <f t="shared" si="0"/>
        <v>C.P.C.</v>
      </c>
      <c r="F4" s="81" t="s">
        <v>623</v>
      </c>
      <c r="G4" s="81" t="s">
        <v>625</v>
      </c>
      <c r="I4" s="81" t="s">
        <v>624</v>
      </c>
      <c r="K4" s="81" t="s">
        <v>626</v>
      </c>
    </row>
    <row r="5" spans="1:11">
      <c r="B5" s="81"/>
      <c r="C5" s="133" t="s">
        <v>646</v>
      </c>
      <c r="D5" s="133" t="s">
        <v>181</v>
      </c>
      <c r="E5" s="133" t="str">
        <f t="shared" si="0"/>
        <v>China</v>
      </c>
      <c r="F5" s="81" t="s">
        <v>630</v>
      </c>
      <c r="G5" s="81" t="s">
        <v>562</v>
      </c>
      <c r="I5" s="81" t="s">
        <v>631</v>
      </c>
      <c r="K5" s="81" t="s">
        <v>632</v>
      </c>
    </row>
    <row r="6" spans="1:11">
      <c r="C6" s="133" t="s">
        <v>646</v>
      </c>
      <c r="D6" s="133" t="s">
        <v>181</v>
      </c>
      <c r="E6" s="133" t="str">
        <f t="shared" si="0"/>
        <v>DK</v>
      </c>
      <c r="F6" s="81" t="s">
        <v>557</v>
      </c>
      <c r="G6" s="81" t="s">
        <v>576</v>
      </c>
      <c r="I6" s="81" t="s">
        <v>558</v>
      </c>
      <c r="K6" s="81" t="s">
        <v>559</v>
      </c>
    </row>
    <row r="7" spans="1:11">
      <c r="C7" s="133" t="s">
        <v>646</v>
      </c>
      <c r="D7" s="133" t="s">
        <v>181</v>
      </c>
      <c r="E7" s="133" t="str">
        <f t="shared" si="0"/>
        <v>D</v>
      </c>
      <c r="F7" s="81" t="s">
        <v>545</v>
      </c>
      <c r="G7" s="81" t="s">
        <v>546</v>
      </c>
      <c r="I7" s="81" t="s">
        <v>548</v>
      </c>
      <c r="K7" s="81" t="s">
        <v>547</v>
      </c>
    </row>
    <row r="8" spans="1:11">
      <c r="C8" s="133" t="s">
        <v>646</v>
      </c>
      <c r="D8" s="133" t="s">
        <v>181</v>
      </c>
      <c r="E8" s="133" t="str">
        <f t="shared" si="0"/>
        <v>D</v>
      </c>
      <c r="F8" s="81" t="s">
        <v>545</v>
      </c>
      <c r="G8" s="81" t="s">
        <v>595</v>
      </c>
      <c r="I8" s="81" t="s">
        <v>596</v>
      </c>
      <c r="K8" s="81" t="s">
        <v>597</v>
      </c>
    </row>
    <row r="9" spans="1:11">
      <c r="C9" s="133" t="s">
        <v>646</v>
      </c>
      <c r="D9" s="133" t="s">
        <v>181</v>
      </c>
      <c r="E9" s="133" t="str">
        <f t="shared" si="0"/>
        <v>DUFERCO</v>
      </c>
      <c r="F9" s="81" t="s">
        <v>529</v>
      </c>
      <c r="G9" s="81" t="s">
        <v>531</v>
      </c>
      <c r="I9" s="81" t="s">
        <v>532</v>
      </c>
      <c r="K9" s="81" t="s">
        <v>530</v>
      </c>
    </row>
    <row r="10" spans="1:11">
      <c r="C10" s="133" t="s">
        <v>646</v>
      </c>
      <c r="D10" s="133" t="s">
        <v>181</v>
      </c>
      <c r="E10" s="133" t="str">
        <f t="shared" si="0"/>
        <v>DUFERCO</v>
      </c>
      <c r="F10" s="81" t="s">
        <v>529</v>
      </c>
      <c r="G10" s="81" t="s">
        <v>583</v>
      </c>
      <c r="I10" s="81" t="s">
        <v>555</v>
      </c>
      <c r="K10" s="81" t="s">
        <v>584</v>
      </c>
    </row>
    <row r="11" spans="1:11">
      <c r="C11" s="133" t="s">
        <v>646</v>
      </c>
      <c r="D11" s="133" t="s">
        <v>181</v>
      </c>
      <c r="E11" s="133" t="str">
        <f t="shared" si="0"/>
        <v>Esang</v>
      </c>
      <c r="F11" s="81" t="s">
        <v>542</v>
      </c>
      <c r="G11" s="81" t="s">
        <v>538</v>
      </c>
      <c r="I11" s="81" t="s">
        <v>543</v>
      </c>
      <c r="K11" s="81" t="s">
        <v>544</v>
      </c>
    </row>
    <row r="12" spans="1:11">
      <c r="C12" s="133" t="s">
        <v>646</v>
      </c>
      <c r="D12" s="133" t="s">
        <v>181</v>
      </c>
      <c r="E12" s="133" t="str">
        <f t="shared" si="0"/>
        <v>Friulana</v>
      </c>
      <c r="F12" s="81" t="s">
        <v>118</v>
      </c>
      <c r="G12" s="81" t="s">
        <v>147</v>
      </c>
      <c r="I12" s="81" t="s">
        <v>113</v>
      </c>
      <c r="K12" s="81" t="s">
        <v>107</v>
      </c>
    </row>
    <row r="13" spans="1:11">
      <c r="C13" s="133" t="s">
        <v>646</v>
      </c>
      <c r="D13" s="133" t="s">
        <v>181</v>
      </c>
      <c r="E13" s="133" t="str">
        <f t="shared" si="0"/>
        <v>Hwangkum</v>
      </c>
      <c r="F13" s="81" t="s">
        <v>569</v>
      </c>
      <c r="G13" s="81" t="s">
        <v>568</v>
      </c>
      <c r="I13" s="81" t="s">
        <v>543</v>
      </c>
      <c r="K13" s="81" t="s">
        <v>570</v>
      </c>
    </row>
    <row r="14" spans="1:11">
      <c r="C14" s="133" t="s">
        <v>646</v>
      </c>
      <c r="D14" s="133" t="s">
        <v>181</v>
      </c>
      <c r="E14" s="133" t="str">
        <f t="shared" si="0"/>
        <v>Inox</v>
      </c>
      <c r="F14" s="81" t="s">
        <v>102</v>
      </c>
      <c r="G14" s="81" t="s">
        <v>144</v>
      </c>
      <c r="I14" s="81" t="s">
        <v>103</v>
      </c>
      <c r="K14" s="81" t="s">
        <v>107</v>
      </c>
    </row>
    <row r="15" spans="1:11">
      <c r="C15" s="133" t="s">
        <v>646</v>
      </c>
      <c r="D15" s="133" t="s">
        <v>181</v>
      </c>
      <c r="E15" s="133" t="str">
        <f t="shared" si="0"/>
        <v>Iwatani</v>
      </c>
      <c r="F15" s="81" t="s">
        <v>124</v>
      </c>
      <c r="G15" s="81" t="s">
        <v>149</v>
      </c>
      <c r="I15" s="81" t="s">
        <v>121</v>
      </c>
      <c r="K15" s="81" t="s">
        <v>302</v>
      </c>
    </row>
    <row r="16" spans="1:11">
      <c r="C16" s="133" t="s">
        <v>646</v>
      </c>
      <c r="D16" s="133" t="s">
        <v>181</v>
      </c>
      <c r="E16" s="133" t="str">
        <f t="shared" si="0"/>
        <v>Iwatani</v>
      </c>
      <c r="F16" s="81" t="s">
        <v>592</v>
      </c>
      <c r="G16" s="81" t="s">
        <v>593</v>
      </c>
      <c r="I16" s="81" t="s">
        <v>585</v>
      </c>
      <c r="K16" s="81" t="s">
        <v>594</v>
      </c>
    </row>
    <row r="17" spans="3:11">
      <c r="C17" s="133" t="s">
        <v>646</v>
      </c>
      <c r="D17" s="133" t="s">
        <v>181</v>
      </c>
      <c r="E17" s="133" t="str">
        <f t="shared" si="0"/>
        <v>Iwatani</v>
      </c>
      <c r="F17" s="81" t="s">
        <v>592</v>
      </c>
      <c r="G17" s="81" t="s">
        <v>552</v>
      </c>
      <c r="I17" s="81" t="s">
        <v>598</v>
      </c>
      <c r="K17" s="81" t="s">
        <v>599</v>
      </c>
    </row>
    <row r="18" spans="3:11">
      <c r="C18" s="133" t="s">
        <v>646</v>
      </c>
      <c r="D18" s="133" t="s">
        <v>181</v>
      </c>
      <c r="E18" s="133" t="str">
        <f t="shared" si="0"/>
        <v>Jeil</v>
      </c>
      <c r="F18" s="81" t="s">
        <v>550</v>
      </c>
      <c r="G18" s="81" t="s">
        <v>549</v>
      </c>
      <c r="I18" s="81" t="s">
        <v>540</v>
      </c>
      <c r="K18" s="81" t="s">
        <v>551</v>
      </c>
    </row>
    <row r="19" spans="3:11">
      <c r="C19" s="133" t="s">
        <v>646</v>
      </c>
      <c r="D19" s="133" t="s">
        <v>181</v>
      </c>
      <c r="E19" s="133" t="str">
        <f t="shared" si="0"/>
        <v>Lsi</v>
      </c>
      <c r="F19" s="81" t="s">
        <v>611</v>
      </c>
      <c r="G19" s="81" t="s">
        <v>612</v>
      </c>
      <c r="I19" s="81" t="s">
        <v>613</v>
      </c>
      <c r="K19" s="81" t="s">
        <v>614</v>
      </c>
    </row>
    <row r="20" spans="3:11">
      <c r="C20" s="133" t="s">
        <v>646</v>
      </c>
      <c r="D20" s="133" t="s">
        <v>181</v>
      </c>
      <c r="E20" s="133" t="str">
        <f t="shared" si="0"/>
        <v>Myungjin</v>
      </c>
      <c r="F20" s="81" t="s">
        <v>541</v>
      </c>
      <c r="G20" s="81" t="s">
        <v>538</v>
      </c>
      <c r="I20" s="81" t="s">
        <v>540</v>
      </c>
      <c r="K20" s="81" t="s">
        <v>539</v>
      </c>
    </row>
    <row r="21" spans="3:11">
      <c r="C21" s="133" t="s">
        <v>646</v>
      </c>
      <c r="D21" s="133" t="s">
        <v>181</v>
      </c>
      <c r="E21" s="133" t="str">
        <f t="shared" si="0"/>
        <v>Marcegaglia</v>
      </c>
      <c r="F21" s="81" t="s">
        <v>615</v>
      </c>
      <c r="G21" s="81" t="s">
        <v>612</v>
      </c>
      <c r="I21" s="81" t="s">
        <v>613</v>
      </c>
      <c r="K21" s="81" t="s">
        <v>616</v>
      </c>
    </row>
    <row r="22" spans="3:11">
      <c r="C22" s="133" t="s">
        <v>646</v>
      </c>
      <c r="D22" s="133" t="s">
        <v>181</v>
      </c>
      <c r="E22" s="133" t="str">
        <f t="shared" si="0"/>
        <v>Nova</v>
      </c>
      <c r="F22" s="81" t="s">
        <v>115</v>
      </c>
      <c r="G22" s="81" t="s">
        <v>146</v>
      </c>
      <c r="I22" s="81" t="s">
        <v>116</v>
      </c>
      <c r="K22" s="81" t="s">
        <v>117</v>
      </c>
    </row>
    <row r="23" spans="3:11">
      <c r="C23" s="133" t="s">
        <v>646</v>
      </c>
      <c r="D23" s="133" t="s">
        <v>181</v>
      </c>
      <c r="E23" s="133" t="str">
        <f t="shared" si="0"/>
        <v>Nova</v>
      </c>
      <c r="F23" s="81" t="s">
        <v>115</v>
      </c>
      <c r="G23" s="81" t="s">
        <v>554</v>
      </c>
      <c r="I23" s="81" t="s">
        <v>555</v>
      </c>
      <c r="K23" s="81" t="s">
        <v>556</v>
      </c>
    </row>
    <row r="24" spans="3:11">
      <c r="C24" s="133" t="s">
        <v>646</v>
      </c>
      <c r="D24" s="133" t="s">
        <v>181</v>
      </c>
      <c r="E24" s="133" t="str">
        <f t="shared" si="0"/>
        <v>Nova</v>
      </c>
      <c r="F24" s="81" t="s">
        <v>115</v>
      </c>
      <c r="G24" s="81" t="s">
        <v>617</v>
      </c>
      <c r="I24" s="81" t="s">
        <v>618</v>
      </c>
      <c r="K24" s="81" t="s">
        <v>619</v>
      </c>
    </row>
    <row r="25" spans="3:11">
      <c r="C25" s="133" t="s">
        <v>646</v>
      </c>
      <c r="D25" s="133" t="s">
        <v>181</v>
      </c>
      <c r="E25" s="133" t="str">
        <f t="shared" si="0"/>
        <v>Roba</v>
      </c>
      <c r="F25" s="81" t="s">
        <v>131</v>
      </c>
      <c r="G25" s="81" t="s">
        <v>228</v>
      </c>
      <c r="I25" s="81" t="s">
        <v>130</v>
      </c>
      <c r="K25" s="81" t="s">
        <v>132</v>
      </c>
    </row>
    <row r="26" spans="3:11">
      <c r="C26" s="133" t="s">
        <v>646</v>
      </c>
      <c r="D26" s="133" t="s">
        <v>181</v>
      </c>
      <c r="E26" s="133" t="str">
        <f t="shared" si="0"/>
        <v>Shinko</v>
      </c>
      <c r="F26" s="81" t="s">
        <v>122</v>
      </c>
      <c r="G26" s="81" t="s">
        <v>47</v>
      </c>
      <c r="I26" s="81" t="s">
        <v>121</v>
      </c>
      <c r="K26" s="81" t="s">
        <v>123</v>
      </c>
    </row>
    <row r="27" spans="3:11">
      <c r="C27" s="133" t="s">
        <v>646</v>
      </c>
      <c r="D27" s="133" t="s">
        <v>181</v>
      </c>
      <c r="E27" s="133" t="str">
        <f t="shared" si="0"/>
        <v>Shinko</v>
      </c>
      <c r="F27" s="81" t="s">
        <v>586</v>
      </c>
      <c r="G27" s="81" t="s">
        <v>562</v>
      </c>
      <c r="I27" s="81" t="s">
        <v>585</v>
      </c>
      <c r="K27" s="81" t="s">
        <v>587</v>
      </c>
    </row>
    <row r="28" spans="3:11">
      <c r="C28" s="133" t="s">
        <v>646</v>
      </c>
      <c r="D28" s="133" t="s">
        <v>181</v>
      </c>
      <c r="E28" s="133" t="str">
        <f t="shared" si="0"/>
        <v>Shinko</v>
      </c>
      <c r="F28" s="81" t="s">
        <v>586</v>
      </c>
      <c r="G28" s="81" t="s">
        <v>600</v>
      </c>
      <c r="I28" s="81" t="s">
        <v>598</v>
      </c>
      <c r="K28" s="81" t="s">
        <v>601</v>
      </c>
    </row>
    <row r="29" spans="3:11">
      <c r="C29" s="133" t="s">
        <v>646</v>
      </c>
      <c r="D29" s="133" t="s">
        <v>181</v>
      </c>
      <c r="E29" s="133" t="str">
        <f t="shared" si="0"/>
        <v>Taiwan</v>
      </c>
      <c r="F29" s="81" t="s">
        <v>30</v>
      </c>
      <c r="G29" s="81" t="s">
        <v>562</v>
      </c>
      <c r="I29" s="133" t="s">
        <v>585</v>
      </c>
      <c r="K29" s="81" t="s">
        <v>591</v>
      </c>
    </row>
    <row r="30" spans="3:11">
      <c r="C30" s="133" t="s">
        <v>646</v>
      </c>
      <c r="D30" s="133" t="s">
        <v>181</v>
      </c>
      <c r="E30" s="133" t="str">
        <f t="shared" si="0"/>
        <v>Y-Entex</v>
      </c>
      <c r="F30" s="81" t="s">
        <v>588</v>
      </c>
      <c r="G30" s="81" t="s">
        <v>589</v>
      </c>
      <c r="I30" s="81" t="s">
        <v>585</v>
      </c>
      <c r="K30" s="81" t="s">
        <v>590</v>
      </c>
    </row>
    <row r="31" spans="3:11">
      <c r="C31" s="133" t="s">
        <v>646</v>
      </c>
      <c r="D31" s="133" t="s">
        <v>181</v>
      </c>
      <c r="E31" s="133" t="str">
        <f t="shared" si="0"/>
        <v>Yieh</v>
      </c>
      <c r="F31" s="81" t="s">
        <v>139</v>
      </c>
      <c r="G31" s="81" t="s">
        <v>200</v>
      </c>
      <c r="I31" s="81" t="s">
        <v>140</v>
      </c>
      <c r="K31" s="81" t="s">
        <v>523</v>
      </c>
    </row>
    <row r="32" spans="3:11">
      <c r="C32" s="133" t="s">
        <v>646</v>
      </c>
      <c r="D32" s="133" t="s">
        <v>181</v>
      </c>
      <c r="E32" s="133" t="str">
        <f t="shared" si="0"/>
        <v>屏萬企業</v>
      </c>
      <c r="F32" s="81" t="s">
        <v>235</v>
      </c>
      <c r="G32" s="81" t="s">
        <v>148</v>
      </c>
      <c r="I32" s="81" t="s">
        <v>119</v>
      </c>
      <c r="K32" s="81" t="s">
        <v>120</v>
      </c>
    </row>
    <row r="33" spans="2:11">
      <c r="C33" s="133" t="s">
        <v>646</v>
      </c>
      <c r="D33" s="133" t="s">
        <v>180</v>
      </c>
      <c r="E33" s="133" t="str">
        <f t="shared" si="0"/>
        <v>Alumtan</v>
      </c>
      <c r="F33" s="81" t="s">
        <v>184</v>
      </c>
      <c r="G33" s="81" t="s">
        <v>182</v>
      </c>
      <c r="I33" s="81" t="s">
        <v>183</v>
      </c>
      <c r="K33" s="81" t="s">
        <v>186</v>
      </c>
    </row>
    <row r="34" spans="2:11">
      <c r="C34" s="133" t="s">
        <v>646</v>
      </c>
      <c r="D34" s="133" t="s">
        <v>180</v>
      </c>
      <c r="E34" s="133" t="str">
        <f t="shared" ref="E34:E65" si="1">LEFT(F34, FIND(" ", F34 &amp; " ") - 1)</f>
        <v>Balaji</v>
      </c>
      <c r="F34" s="81" t="s">
        <v>125</v>
      </c>
      <c r="G34" s="81" t="s">
        <v>150</v>
      </c>
      <c r="I34" s="81" t="s">
        <v>126</v>
      </c>
      <c r="K34" s="81" t="s">
        <v>127</v>
      </c>
    </row>
    <row r="35" spans="2:11">
      <c r="C35" s="133" t="s">
        <v>646</v>
      </c>
      <c r="D35" s="133" t="s">
        <v>180</v>
      </c>
      <c r="E35" s="133" t="str">
        <f t="shared" si="1"/>
        <v>Bayar</v>
      </c>
      <c r="F35" s="81" t="s">
        <v>212</v>
      </c>
      <c r="G35" s="81" t="s">
        <v>47</v>
      </c>
      <c r="I35" s="81" t="s">
        <v>213</v>
      </c>
      <c r="K35" s="81" t="s">
        <v>636</v>
      </c>
    </row>
    <row r="36" spans="2:11">
      <c r="C36" s="133" t="s">
        <v>646</v>
      </c>
      <c r="D36" s="133" t="s">
        <v>180</v>
      </c>
      <c r="E36" s="133" t="str">
        <f t="shared" si="1"/>
        <v>Best</v>
      </c>
      <c r="F36" s="81" t="s">
        <v>236</v>
      </c>
      <c r="G36" s="81" t="s">
        <v>239</v>
      </c>
      <c r="I36" s="81" t="s">
        <v>238</v>
      </c>
      <c r="K36" s="81" t="s">
        <v>237</v>
      </c>
    </row>
    <row r="37" spans="2:11">
      <c r="B37" s="81"/>
      <c r="C37" s="133" t="s">
        <v>646</v>
      </c>
      <c r="D37" s="133" t="s">
        <v>180</v>
      </c>
      <c r="E37" s="133" t="str">
        <f t="shared" si="1"/>
        <v>Cheongfuli</v>
      </c>
      <c r="F37" s="81" t="s">
        <v>567</v>
      </c>
      <c r="G37" s="81" t="s">
        <v>538</v>
      </c>
      <c r="I37" s="81" t="s">
        <v>565</v>
      </c>
      <c r="K37" s="81" t="s">
        <v>215</v>
      </c>
    </row>
    <row r="38" spans="2:11">
      <c r="C38" s="133" t="s">
        <v>646</v>
      </c>
      <c r="D38" s="133" t="s">
        <v>180</v>
      </c>
      <c r="E38" s="133" t="str">
        <f t="shared" si="1"/>
        <v>DMS</v>
      </c>
      <c r="F38" s="81" t="s">
        <v>161</v>
      </c>
      <c r="G38" s="81" t="s">
        <v>228</v>
      </c>
      <c r="H38" s="81"/>
      <c r="I38" s="81" t="s">
        <v>162</v>
      </c>
      <c r="K38" s="81" t="s">
        <v>152</v>
      </c>
    </row>
    <row r="39" spans="2:11">
      <c r="C39" s="133" t="s">
        <v>646</v>
      </c>
      <c r="D39" s="133" t="s">
        <v>180</v>
      </c>
      <c r="E39" s="133" t="str">
        <f t="shared" si="1"/>
        <v>Expertinox</v>
      </c>
      <c r="F39" s="81" t="s">
        <v>220</v>
      </c>
      <c r="G39" s="81" t="s">
        <v>204</v>
      </c>
      <c r="I39" s="81" t="s">
        <v>222</v>
      </c>
      <c r="K39" s="81" t="s">
        <v>221</v>
      </c>
    </row>
    <row r="40" spans="2:11">
      <c r="C40" s="133" t="s">
        <v>646</v>
      </c>
      <c r="D40" s="133" t="s">
        <v>180</v>
      </c>
      <c r="E40" s="133" t="str">
        <f t="shared" si="1"/>
        <v>Fivetec</v>
      </c>
      <c r="F40" s="81" t="s">
        <v>560</v>
      </c>
      <c r="G40" s="81" t="s">
        <v>562</v>
      </c>
      <c r="I40" s="81" t="s">
        <v>561</v>
      </c>
      <c r="K40" s="81" t="s">
        <v>563</v>
      </c>
    </row>
    <row r="41" spans="2:11">
      <c r="C41" s="133" t="s">
        <v>646</v>
      </c>
      <c r="D41" s="133" t="s">
        <v>180</v>
      </c>
      <c r="E41" s="133" t="str">
        <f t="shared" si="1"/>
        <v>GKY</v>
      </c>
      <c r="F41" s="81" t="s">
        <v>240</v>
      </c>
      <c r="G41" s="81" t="s">
        <v>581</v>
      </c>
      <c r="I41" s="81" t="s">
        <v>177</v>
      </c>
      <c r="K41" s="81" t="s">
        <v>241</v>
      </c>
    </row>
    <row r="42" spans="2:11">
      <c r="C42" s="133" t="s">
        <v>646</v>
      </c>
      <c r="D42" s="133" t="s">
        <v>180</v>
      </c>
      <c r="E42" s="133" t="str">
        <f t="shared" si="1"/>
        <v>Guangzhou</v>
      </c>
      <c r="F42" s="81" t="s">
        <v>173</v>
      </c>
      <c r="G42" s="81" t="s">
        <v>172</v>
      </c>
      <c r="I42" s="81" t="s">
        <v>174</v>
      </c>
      <c r="K42" s="81" t="s">
        <v>519</v>
      </c>
    </row>
    <row r="43" spans="2:11">
      <c r="C43" s="133" t="s">
        <v>646</v>
      </c>
      <c r="D43" s="133" t="s">
        <v>180</v>
      </c>
      <c r="E43" s="133" t="str">
        <f t="shared" si="1"/>
        <v>Heap</v>
      </c>
      <c r="F43" s="81" t="s">
        <v>229</v>
      </c>
      <c r="G43" s="81" t="s">
        <v>47</v>
      </c>
      <c r="I43" s="81" t="s">
        <v>183</v>
      </c>
      <c r="K43" s="81" t="s">
        <v>230</v>
      </c>
    </row>
    <row r="44" spans="2:11">
      <c r="C44" s="133" t="s">
        <v>646</v>
      </c>
      <c r="D44" s="133" t="s">
        <v>180</v>
      </c>
      <c r="E44" s="133" t="str">
        <f t="shared" si="1"/>
        <v>Italinox</v>
      </c>
      <c r="F44" s="81" t="s">
        <v>136</v>
      </c>
      <c r="G44" s="81" t="s">
        <v>154</v>
      </c>
      <c r="I44" s="81" t="s">
        <v>137</v>
      </c>
      <c r="K44" s="81" t="s">
        <v>138</v>
      </c>
    </row>
    <row r="45" spans="2:11">
      <c r="C45" s="133" t="s">
        <v>646</v>
      </c>
      <c r="D45" s="133" t="s">
        <v>180</v>
      </c>
      <c r="E45" s="133" t="str">
        <f t="shared" si="1"/>
        <v>Iwatani</v>
      </c>
      <c r="F45" s="81" t="s">
        <v>196</v>
      </c>
      <c r="G45" s="81" t="s">
        <v>179</v>
      </c>
      <c r="I45" s="81" t="s">
        <v>195</v>
      </c>
      <c r="K45" s="81" t="s">
        <v>520</v>
      </c>
    </row>
    <row r="46" spans="2:11">
      <c r="C46" s="133" t="s">
        <v>646</v>
      </c>
      <c r="D46" s="133" t="s">
        <v>180</v>
      </c>
      <c r="E46" s="133" t="str">
        <f t="shared" si="1"/>
        <v>Kanzen</v>
      </c>
      <c r="F46" s="81" t="s">
        <v>159</v>
      </c>
      <c r="G46" s="81" t="s">
        <v>158</v>
      </c>
      <c r="I46" s="81" t="s">
        <v>156</v>
      </c>
      <c r="K46" s="81" t="s">
        <v>160</v>
      </c>
    </row>
    <row r="47" spans="2:11">
      <c r="C47" s="133" t="s">
        <v>646</v>
      </c>
      <c r="D47" s="133" t="s">
        <v>180</v>
      </c>
      <c r="E47" s="133" t="str">
        <f t="shared" si="1"/>
        <v>Kentzu</v>
      </c>
      <c r="F47" s="81" t="s">
        <v>155</v>
      </c>
      <c r="G47" s="81" t="s">
        <v>154</v>
      </c>
      <c r="I47" s="81" t="s">
        <v>177</v>
      </c>
      <c r="K47" s="81" t="s">
        <v>157</v>
      </c>
    </row>
    <row r="48" spans="2:11">
      <c r="C48" s="133" t="s">
        <v>646</v>
      </c>
      <c r="D48" s="133" t="s">
        <v>180</v>
      </c>
      <c r="E48" s="133" t="str">
        <f t="shared" si="1"/>
        <v>Kentzu</v>
      </c>
      <c r="F48" s="81" t="s">
        <v>620</v>
      </c>
      <c r="G48" s="81" t="s">
        <v>621</v>
      </c>
      <c r="I48" s="81" t="s">
        <v>565</v>
      </c>
      <c r="K48" s="81" t="s">
        <v>622</v>
      </c>
    </row>
    <row r="49" spans="3:11">
      <c r="C49" s="133" t="s">
        <v>646</v>
      </c>
      <c r="D49" s="133" t="s">
        <v>180</v>
      </c>
      <c r="E49" s="133" t="str">
        <f t="shared" si="1"/>
        <v>Key</v>
      </c>
      <c r="F49" s="81" t="s">
        <v>175</v>
      </c>
      <c r="G49" s="81" t="s">
        <v>47</v>
      </c>
      <c r="I49" s="81" t="s">
        <v>177</v>
      </c>
      <c r="K49" s="81" t="s">
        <v>176</v>
      </c>
    </row>
    <row r="50" spans="3:11">
      <c r="C50" s="133" t="s">
        <v>646</v>
      </c>
      <c r="D50" s="133" t="s">
        <v>180</v>
      </c>
      <c r="E50" s="133" t="str">
        <f t="shared" si="1"/>
        <v>KIBO</v>
      </c>
      <c r="F50" s="81" t="s">
        <v>209</v>
      </c>
      <c r="G50" s="81" t="s">
        <v>582</v>
      </c>
      <c r="I50" s="81" t="s">
        <v>211</v>
      </c>
      <c r="K50" s="81" t="s">
        <v>210</v>
      </c>
    </row>
    <row r="51" spans="3:11">
      <c r="C51" s="133" t="s">
        <v>646</v>
      </c>
      <c r="D51" s="133" t="s">
        <v>180</v>
      </c>
      <c r="E51" s="133" t="str">
        <f t="shared" si="1"/>
        <v>KIBO</v>
      </c>
      <c r="F51" s="81" t="s">
        <v>209</v>
      </c>
      <c r="G51" s="81" t="s">
        <v>640</v>
      </c>
      <c r="I51" s="81" t="s">
        <v>211</v>
      </c>
      <c r="K51" s="81" t="s">
        <v>210</v>
      </c>
    </row>
    <row r="52" spans="3:11">
      <c r="C52" s="133" t="s">
        <v>646</v>
      </c>
      <c r="D52" s="133" t="s">
        <v>180</v>
      </c>
      <c r="E52" s="133" t="str">
        <f t="shared" si="1"/>
        <v>KTT</v>
      </c>
      <c r="F52" s="81" t="s">
        <v>577</v>
      </c>
      <c r="G52" s="81" t="s">
        <v>575</v>
      </c>
      <c r="I52" s="81" t="s">
        <v>578</v>
      </c>
      <c r="K52" s="81" t="s">
        <v>579</v>
      </c>
    </row>
    <row r="53" spans="3:11">
      <c r="C53" s="133" t="s">
        <v>646</v>
      </c>
      <c r="D53" s="133" t="s">
        <v>180</v>
      </c>
      <c r="E53" s="133" t="str">
        <f t="shared" si="1"/>
        <v>Koden</v>
      </c>
      <c r="F53" s="81" t="s">
        <v>201</v>
      </c>
      <c r="G53" s="81" t="s">
        <v>580</v>
      </c>
      <c r="I53" s="81" t="s">
        <v>203</v>
      </c>
      <c r="K53" s="81" t="s">
        <v>202</v>
      </c>
    </row>
    <row r="54" spans="3:11">
      <c r="C54" s="133" t="s">
        <v>646</v>
      </c>
      <c r="D54" s="133" t="s">
        <v>180</v>
      </c>
      <c r="E54" s="133" t="str">
        <f t="shared" si="1"/>
        <v>Key</v>
      </c>
      <c r="F54" s="81" t="s">
        <v>564</v>
      </c>
      <c r="G54" s="81" t="s">
        <v>562</v>
      </c>
      <c r="I54" s="81" t="s">
        <v>565</v>
      </c>
      <c r="K54" s="81" t="s">
        <v>566</v>
      </c>
    </row>
    <row r="55" spans="3:11">
      <c r="C55" s="133" t="s">
        <v>646</v>
      </c>
      <c r="D55" s="133" t="s">
        <v>180</v>
      </c>
      <c r="E55" s="133" t="str">
        <f t="shared" si="1"/>
        <v>Lachesis</v>
      </c>
      <c r="F55" s="81" t="s">
        <v>226</v>
      </c>
      <c r="G55" s="81" t="s">
        <v>47</v>
      </c>
      <c r="I55" s="81" t="s">
        <v>227</v>
      </c>
      <c r="K55" s="81" t="s">
        <v>152</v>
      </c>
    </row>
    <row r="56" spans="3:11">
      <c r="C56" s="133" t="s">
        <v>646</v>
      </c>
      <c r="D56" s="133" t="s">
        <v>180</v>
      </c>
      <c r="E56" s="133" t="str">
        <f t="shared" si="1"/>
        <v>Lachesis</v>
      </c>
      <c r="F56" s="81" t="s">
        <v>151</v>
      </c>
      <c r="G56" s="81" t="s">
        <v>47</v>
      </c>
      <c r="I56" s="81" t="s">
        <v>153</v>
      </c>
      <c r="K56" s="81" t="s">
        <v>152</v>
      </c>
    </row>
    <row r="57" spans="3:11">
      <c r="C57" s="133" t="s">
        <v>646</v>
      </c>
      <c r="D57" s="133" t="s">
        <v>180</v>
      </c>
      <c r="E57" s="133" t="str">
        <f t="shared" si="1"/>
        <v>Metal</v>
      </c>
      <c r="F57" s="81" t="s">
        <v>232</v>
      </c>
      <c r="G57" s="81" t="s">
        <v>231</v>
      </c>
      <c r="I57" s="81" t="s">
        <v>233</v>
      </c>
      <c r="K57" s="81" t="s">
        <v>234</v>
      </c>
    </row>
    <row r="58" spans="3:11">
      <c r="C58" s="133" t="s">
        <v>646</v>
      </c>
      <c r="D58" s="133" t="s">
        <v>180</v>
      </c>
      <c r="E58" s="133" t="str">
        <f t="shared" si="1"/>
        <v>Minox</v>
      </c>
      <c r="F58" s="81" t="s">
        <v>633</v>
      </c>
      <c r="G58" s="81" t="s">
        <v>595</v>
      </c>
      <c r="I58" s="81" t="s">
        <v>634</v>
      </c>
      <c r="K58" s="81" t="s">
        <v>635</v>
      </c>
    </row>
    <row r="59" spans="3:11">
      <c r="C59" s="133" t="s">
        <v>646</v>
      </c>
      <c r="D59" s="133" t="s">
        <v>180</v>
      </c>
      <c r="E59" s="133" t="str">
        <f t="shared" si="1"/>
        <v>Nord</v>
      </c>
      <c r="F59" s="81" t="s">
        <v>142</v>
      </c>
      <c r="G59" s="81" t="s">
        <v>158</v>
      </c>
      <c r="I59" s="81" t="s">
        <v>141</v>
      </c>
      <c r="K59" s="81" t="s">
        <v>143</v>
      </c>
    </row>
    <row r="60" spans="3:11">
      <c r="C60" s="133" t="s">
        <v>646</v>
      </c>
      <c r="D60" s="133" t="s">
        <v>180</v>
      </c>
      <c r="E60" s="133" t="str">
        <f t="shared" si="1"/>
        <v>Nova</v>
      </c>
      <c r="F60" s="81" t="s">
        <v>627</v>
      </c>
      <c r="G60" s="81" t="s">
        <v>524</v>
      </c>
      <c r="I60" s="81" t="s">
        <v>628</v>
      </c>
      <c r="K60" s="81" t="s">
        <v>629</v>
      </c>
    </row>
    <row r="61" spans="3:11">
      <c r="C61" s="133" t="s">
        <v>646</v>
      </c>
      <c r="D61" s="133" t="s">
        <v>180</v>
      </c>
      <c r="E61" s="133" t="str">
        <f t="shared" si="1"/>
        <v>Olbert</v>
      </c>
      <c r="F61" s="81" t="s">
        <v>517</v>
      </c>
      <c r="G61" s="81" t="s">
        <v>524</v>
      </c>
      <c r="I61" s="81" t="s">
        <v>525</v>
      </c>
      <c r="K61" s="81" t="s">
        <v>518</v>
      </c>
    </row>
    <row r="62" spans="3:11">
      <c r="C62" s="133" t="s">
        <v>646</v>
      </c>
      <c r="D62" s="133" t="s">
        <v>180</v>
      </c>
      <c r="E62" s="133" t="str">
        <f t="shared" si="1"/>
        <v>Phoenix</v>
      </c>
      <c r="F62" s="81" t="s">
        <v>133</v>
      </c>
      <c r="G62" s="81" t="s">
        <v>205</v>
      </c>
      <c r="I62" s="81" t="s">
        <v>135</v>
      </c>
      <c r="K62" s="81" t="s">
        <v>134</v>
      </c>
    </row>
    <row r="63" spans="3:11">
      <c r="C63" s="133" t="s">
        <v>646</v>
      </c>
      <c r="D63" s="133" t="s">
        <v>180</v>
      </c>
      <c r="E63" s="133" t="str">
        <f t="shared" si="1"/>
        <v>Saraswati</v>
      </c>
      <c r="F63" s="81" t="s">
        <v>198</v>
      </c>
      <c r="G63" s="81" t="s">
        <v>217</v>
      </c>
      <c r="I63" s="81" t="s">
        <v>197</v>
      </c>
      <c r="K63" s="81" t="s">
        <v>199</v>
      </c>
    </row>
    <row r="64" spans="3:11">
      <c r="C64" s="133" t="s">
        <v>646</v>
      </c>
      <c r="D64" s="133" t="s">
        <v>180</v>
      </c>
      <c r="E64" s="133" t="str">
        <f t="shared" si="1"/>
        <v>Sumiputeh</v>
      </c>
      <c r="F64" s="81" t="s">
        <v>206</v>
      </c>
      <c r="G64" s="81" t="s">
        <v>208</v>
      </c>
      <c r="I64" s="81" t="s">
        <v>156</v>
      </c>
      <c r="K64" s="81" t="s">
        <v>207</v>
      </c>
    </row>
    <row r="65" spans="2:11">
      <c r="C65" s="133" t="s">
        <v>646</v>
      </c>
      <c r="D65" s="133" t="s">
        <v>180</v>
      </c>
      <c r="E65" s="133" t="str">
        <f t="shared" si="1"/>
        <v>Sumitomo</v>
      </c>
      <c r="F65" s="81" t="s">
        <v>188</v>
      </c>
      <c r="G65" s="81" t="s">
        <v>47</v>
      </c>
      <c r="I65" s="81" t="s">
        <v>187</v>
      </c>
      <c r="K65" s="81" t="s">
        <v>185</v>
      </c>
    </row>
    <row r="66" spans="2:11">
      <c r="C66" s="133" t="s">
        <v>646</v>
      </c>
      <c r="D66" s="133" t="s">
        <v>180</v>
      </c>
      <c r="E66" s="133" t="str">
        <f t="shared" ref="E66:E77" si="2">LEFT(F66, FIND(" ", F66 &amp; " ") - 1)</f>
        <v>Sumitomo</v>
      </c>
      <c r="F66" s="81" t="s">
        <v>188</v>
      </c>
      <c r="G66" s="81" t="s">
        <v>189</v>
      </c>
      <c r="I66" s="81" t="s">
        <v>187</v>
      </c>
      <c r="K66" s="81" t="s">
        <v>190</v>
      </c>
    </row>
    <row r="67" spans="2:11">
      <c r="C67" s="133" t="s">
        <v>646</v>
      </c>
      <c r="D67" s="133" t="s">
        <v>180</v>
      </c>
      <c r="E67" s="133" t="str">
        <f t="shared" si="2"/>
        <v>T.P.</v>
      </c>
      <c r="F67" s="81" t="s">
        <v>170</v>
      </c>
      <c r="G67" s="81" t="s">
        <v>168</v>
      </c>
      <c r="I67" s="81" t="s">
        <v>169</v>
      </c>
      <c r="K67" s="81" t="s">
        <v>171</v>
      </c>
    </row>
    <row r="68" spans="2:11">
      <c r="C68" s="133" t="s">
        <v>646</v>
      </c>
      <c r="D68" s="133" t="s">
        <v>180</v>
      </c>
      <c r="E68" s="133" t="str">
        <f t="shared" si="2"/>
        <v>Taiwan</v>
      </c>
      <c r="F68" s="131" t="s">
        <v>128</v>
      </c>
      <c r="G68" s="81" t="s">
        <v>179</v>
      </c>
      <c r="I68" s="81" t="s">
        <v>129</v>
      </c>
      <c r="K68" s="81" t="s">
        <v>521</v>
      </c>
    </row>
    <row r="69" spans="2:11">
      <c r="C69" s="133" t="s">
        <v>646</v>
      </c>
      <c r="D69" s="133" t="s">
        <v>180</v>
      </c>
      <c r="E69" s="133" t="str">
        <f t="shared" si="2"/>
        <v>Taiwan</v>
      </c>
      <c r="F69" s="131" t="s">
        <v>602</v>
      </c>
      <c r="G69" s="81" t="s">
        <v>603</v>
      </c>
      <c r="I69" s="81" t="s">
        <v>604</v>
      </c>
      <c r="K69" s="81" t="s">
        <v>605</v>
      </c>
    </row>
    <row r="70" spans="2:11">
      <c r="C70" s="133" t="s">
        <v>646</v>
      </c>
      <c r="D70" s="133" t="s">
        <v>180</v>
      </c>
      <c r="E70" s="133" t="str">
        <f t="shared" si="2"/>
        <v>TSA</v>
      </c>
      <c r="F70" s="81" t="s">
        <v>242</v>
      </c>
      <c r="G70" s="81" t="s">
        <v>47</v>
      </c>
      <c r="I70" s="81" t="s">
        <v>177</v>
      </c>
      <c r="K70" s="81" t="s">
        <v>243</v>
      </c>
    </row>
    <row r="71" spans="2:11">
      <c r="C71" s="133" t="s">
        <v>646</v>
      </c>
      <c r="D71" s="133" t="s">
        <v>180</v>
      </c>
      <c r="E71" s="133" t="str">
        <f t="shared" si="2"/>
        <v>UST</v>
      </c>
      <c r="F71" s="81" t="s">
        <v>641</v>
      </c>
      <c r="G71" s="81" t="s">
        <v>642</v>
      </c>
      <c r="I71" s="81" t="s">
        <v>643</v>
      </c>
      <c r="K71" s="81" t="s">
        <v>644</v>
      </c>
    </row>
    <row r="72" spans="2:11">
      <c r="C72" s="133" t="s">
        <v>646</v>
      </c>
      <c r="D72" s="133" t="s">
        <v>180</v>
      </c>
      <c r="E72" s="133" t="str">
        <f t="shared" si="2"/>
        <v>Walsin</v>
      </c>
      <c r="F72" s="81" t="s">
        <v>224</v>
      </c>
      <c r="G72" s="81" t="s">
        <v>223</v>
      </c>
      <c r="I72" s="81" t="s">
        <v>177</v>
      </c>
      <c r="K72" s="81" t="s">
        <v>225</v>
      </c>
    </row>
    <row r="73" spans="2:11">
      <c r="C73" s="133" t="s">
        <v>646</v>
      </c>
      <c r="D73" s="133" t="s">
        <v>180</v>
      </c>
      <c r="E73" s="133" t="str">
        <f t="shared" si="2"/>
        <v>Yankong</v>
      </c>
      <c r="F73" s="81" t="s">
        <v>216</v>
      </c>
      <c r="G73" s="81" t="s">
        <v>214</v>
      </c>
      <c r="I73" s="81" t="s">
        <v>177</v>
      </c>
      <c r="K73" s="81" t="s">
        <v>215</v>
      </c>
    </row>
    <row r="74" spans="2:11">
      <c r="C74" s="133" t="s">
        <v>646</v>
      </c>
      <c r="D74" s="133" t="s">
        <v>180</v>
      </c>
      <c r="E74" s="133" t="str">
        <f t="shared" si="2"/>
        <v>Yieh</v>
      </c>
      <c r="F74" s="81" t="s">
        <v>218</v>
      </c>
      <c r="G74" s="81" t="s">
        <v>214</v>
      </c>
      <c r="I74" s="81" t="s">
        <v>219</v>
      </c>
      <c r="K74" s="81" t="s">
        <v>522</v>
      </c>
    </row>
    <row r="75" spans="2:11">
      <c r="C75" s="133" t="s">
        <v>246</v>
      </c>
      <c r="D75" s="133" t="s">
        <v>180</v>
      </c>
      <c r="E75" s="133" t="str">
        <f t="shared" si="2"/>
        <v>Yieh</v>
      </c>
      <c r="F75" s="81" t="s">
        <v>139</v>
      </c>
      <c r="G75" s="81" t="s">
        <v>214</v>
      </c>
      <c r="I75" s="81" t="s">
        <v>140</v>
      </c>
      <c r="K75" s="81" t="s">
        <v>659</v>
      </c>
    </row>
    <row r="76" spans="2:11">
      <c r="C76" s="133" t="s">
        <v>646</v>
      </c>
      <c r="D76" s="133" t="s">
        <v>180</v>
      </c>
      <c r="E76" s="133" t="str">
        <f t="shared" si="2"/>
        <v>Yieh</v>
      </c>
      <c r="F76" s="81" t="s">
        <v>139</v>
      </c>
      <c r="G76" s="81" t="s">
        <v>639</v>
      </c>
      <c r="I76" s="81" t="s">
        <v>637</v>
      </c>
      <c r="K76" s="81" t="s">
        <v>638</v>
      </c>
    </row>
    <row r="77" spans="2:11">
      <c r="C77" s="133" t="s">
        <v>646</v>
      </c>
      <c r="D77" s="133" t="s">
        <v>180</v>
      </c>
      <c r="E77" s="133" t="str">
        <f t="shared" si="2"/>
        <v>YOSHU</v>
      </c>
      <c r="F77" s="81" t="s">
        <v>191</v>
      </c>
      <c r="G77" s="81" t="s">
        <v>192</v>
      </c>
      <c r="I77" s="81" t="s">
        <v>193</v>
      </c>
      <c r="K77" s="81" t="s">
        <v>194</v>
      </c>
    </row>
    <row r="78" spans="2:11">
      <c r="C78" s="133" t="s">
        <v>660</v>
      </c>
      <c r="D78" s="133" t="s">
        <v>661</v>
      </c>
      <c r="I78" s="81"/>
    </row>
    <row r="79" spans="2:11">
      <c r="F79" s="81"/>
      <c r="I79" s="81"/>
    </row>
    <row r="80" spans="2:11">
      <c r="B80" s="81" t="s">
        <v>648</v>
      </c>
      <c r="C80" s="81"/>
      <c r="D80" s="133" t="s">
        <v>181</v>
      </c>
      <c r="F80" s="81" t="s">
        <v>32</v>
      </c>
      <c r="G80" s="81" t="s">
        <v>394</v>
      </c>
      <c r="I80" s="81" t="s">
        <v>395</v>
      </c>
      <c r="K80" s="81" t="s">
        <v>396</v>
      </c>
    </row>
    <row r="81" spans="4:12">
      <c r="D81" s="133" t="s">
        <v>181</v>
      </c>
      <c r="F81" s="81" t="s">
        <v>397</v>
      </c>
      <c r="G81" s="81" t="s">
        <v>398</v>
      </c>
      <c r="H81" s="81"/>
      <c r="I81" s="81" t="s">
        <v>395</v>
      </c>
      <c r="K81" s="81" t="s">
        <v>399</v>
      </c>
    </row>
    <row r="82" spans="4:12">
      <c r="D82" s="133" t="s">
        <v>181</v>
      </c>
      <c r="F82" s="81" t="s">
        <v>400</v>
      </c>
      <c r="G82" s="81" t="s">
        <v>401</v>
      </c>
      <c r="H82" s="81"/>
      <c r="I82" s="81" t="s">
        <v>402</v>
      </c>
      <c r="K82" s="81" t="s">
        <v>403</v>
      </c>
    </row>
    <row r="83" spans="4:12">
      <c r="D83" s="133" t="s">
        <v>181</v>
      </c>
      <c r="F83" s="81" t="s">
        <v>404</v>
      </c>
      <c r="G83" s="81" t="s">
        <v>405</v>
      </c>
      <c r="H83" s="81"/>
      <c r="I83" s="81" t="s">
        <v>395</v>
      </c>
      <c r="K83" s="81" t="s">
        <v>406</v>
      </c>
      <c r="L83" s="81"/>
    </row>
    <row r="84" spans="4:12">
      <c r="D84" s="133" t="s">
        <v>181</v>
      </c>
      <c r="F84" s="81" t="s">
        <v>407</v>
      </c>
      <c r="G84" s="81" t="s">
        <v>408</v>
      </c>
      <c r="H84" s="81"/>
      <c r="I84" s="81" t="s">
        <v>395</v>
      </c>
      <c r="K84" s="81" t="s">
        <v>409</v>
      </c>
      <c r="L84" s="81"/>
    </row>
    <row r="85" spans="4:12">
      <c r="D85" s="133" t="s">
        <v>181</v>
      </c>
      <c r="F85" s="81" t="s">
        <v>410</v>
      </c>
      <c r="G85" s="81" t="s">
        <v>411</v>
      </c>
      <c r="H85" s="81"/>
      <c r="I85" s="81" t="s">
        <v>412</v>
      </c>
      <c r="K85" s="81" t="s">
        <v>413</v>
      </c>
      <c r="L85" s="81"/>
    </row>
    <row r="86" spans="4:12">
      <c r="D86" s="133" t="s">
        <v>181</v>
      </c>
      <c r="F86" s="81" t="s">
        <v>414</v>
      </c>
      <c r="G86" s="81" t="s">
        <v>415</v>
      </c>
      <c r="H86" s="81"/>
      <c r="I86" s="81" t="s">
        <v>416</v>
      </c>
      <c r="K86" s="81" t="s">
        <v>417</v>
      </c>
      <c r="L86" s="81"/>
    </row>
    <row r="87" spans="4:12">
      <c r="D87" s="133" t="s">
        <v>181</v>
      </c>
      <c r="F87" s="81" t="s">
        <v>418</v>
      </c>
      <c r="G87" s="81" t="s">
        <v>415</v>
      </c>
      <c r="H87" s="81"/>
      <c r="I87" s="81" t="s">
        <v>416</v>
      </c>
      <c r="K87" s="81" t="s">
        <v>419</v>
      </c>
      <c r="L87" s="81"/>
    </row>
    <row r="88" spans="4:12">
      <c r="D88" s="133" t="s">
        <v>181</v>
      </c>
      <c r="F88" s="81" t="s">
        <v>420</v>
      </c>
      <c r="G88" s="81" t="s">
        <v>421</v>
      </c>
      <c r="H88" s="81"/>
      <c r="I88" s="81" t="s">
        <v>416</v>
      </c>
      <c r="K88" s="81" t="s">
        <v>419</v>
      </c>
      <c r="L88" s="81"/>
    </row>
    <row r="89" spans="4:12">
      <c r="D89" s="133" t="s">
        <v>181</v>
      </c>
      <c r="F89" s="81" t="s">
        <v>422</v>
      </c>
      <c r="G89" s="81" t="s">
        <v>423</v>
      </c>
      <c r="H89" s="81"/>
      <c r="I89" s="81" t="s">
        <v>424</v>
      </c>
      <c r="K89" s="81" t="s">
        <v>425</v>
      </c>
      <c r="L89" s="81"/>
    </row>
    <row r="90" spans="4:12">
      <c r="D90" s="133" t="s">
        <v>181</v>
      </c>
      <c r="F90" s="81" t="s">
        <v>426</v>
      </c>
      <c r="G90" s="81" t="s">
        <v>427</v>
      </c>
      <c r="H90" s="81"/>
      <c r="I90" s="81" t="s">
        <v>428</v>
      </c>
      <c r="K90" s="81" t="s">
        <v>429</v>
      </c>
      <c r="L90" s="81"/>
    </row>
    <row r="91" spans="4:12">
      <c r="D91" s="133" t="s">
        <v>181</v>
      </c>
      <c r="F91" s="81" t="s">
        <v>430</v>
      </c>
      <c r="G91" s="81" t="s">
        <v>431</v>
      </c>
      <c r="I91" s="81" t="s">
        <v>432</v>
      </c>
      <c r="K91" s="81" t="s">
        <v>433</v>
      </c>
      <c r="L91" s="81"/>
    </row>
    <row r="92" spans="4:12">
      <c r="D92" s="133" t="s">
        <v>181</v>
      </c>
      <c r="F92" s="81" t="s">
        <v>400</v>
      </c>
      <c r="G92" s="81" t="s">
        <v>401</v>
      </c>
      <c r="H92" s="81"/>
      <c r="I92" s="81" t="s">
        <v>402</v>
      </c>
      <c r="K92" s="81" t="s">
        <v>434</v>
      </c>
      <c r="L92" s="81"/>
    </row>
    <row r="93" spans="4:12">
      <c r="D93" s="133" t="s">
        <v>181</v>
      </c>
      <c r="F93" s="81" t="s">
        <v>435</v>
      </c>
      <c r="G93" s="81" t="s">
        <v>436</v>
      </c>
      <c r="H93" s="81"/>
      <c r="I93" s="81" t="s">
        <v>437</v>
      </c>
      <c r="K93" s="81" t="s">
        <v>438</v>
      </c>
      <c r="L93" s="81"/>
    </row>
    <row r="94" spans="4:12">
      <c r="D94" s="133" t="s">
        <v>181</v>
      </c>
      <c r="F94" s="81" t="s">
        <v>439</v>
      </c>
      <c r="G94" s="81" t="s">
        <v>440</v>
      </c>
      <c r="H94" s="81"/>
      <c r="I94" s="81" t="s">
        <v>395</v>
      </c>
      <c r="K94" s="81" t="s">
        <v>441</v>
      </c>
      <c r="L94" s="81"/>
    </row>
    <row r="95" spans="4:12">
      <c r="D95" s="133" t="s">
        <v>181</v>
      </c>
      <c r="F95" s="133" t="s">
        <v>442</v>
      </c>
      <c r="G95" s="81" t="s">
        <v>443</v>
      </c>
      <c r="I95" s="81" t="s">
        <v>395</v>
      </c>
      <c r="K95" s="81" t="s">
        <v>444</v>
      </c>
      <c r="L95" s="81"/>
    </row>
    <row r="96" spans="4:12">
      <c r="D96" s="133" t="s">
        <v>181</v>
      </c>
      <c r="F96" s="81" t="s">
        <v>397</v>
      </c>
      <c r="G96" s="81" t="s">
        <v>445</v>
      </c>
      <c r="H96" s="81"/>
      <c r="I96" s="81" t="s">
        <v>395</v>
      </c>
      <c r="K96" s="81" t="s">
        <v>446</v>
      </c>
    </row>
    <row r="97" spans="4:11">
      <c r="D97" s="133" t="s">
        <v>181</v>
      </c>
      <c r="F97" s="81" t="s">
        <v>404</v>
      </c>
      <c r="G97" s="81" t="s">
        <v>405</v>
      </c>
      <c r="H97" s="81"/>
      <c r="I97" s="81" t="s">
        <v>395</v>
      </c>
      <c r="K97" s="81" t="s">
        <v>447</v>
      </c>
    </row>
    <row r="98" spans="4:11">
      <c r="D98" s="133" t="s">
        <v>181</v>
      </c>
      <c r="F98" s="81" t="s">
        <v>448</v>
      </c>
      <c r="G98" s="81" t="s">
        <v>449</v>
      </c>
      <c r="H98" s="81"/>
      <c r="I98" s="81" t="s">
        <v>424</v>
      </c>
      <c r="K98" s="81" t="s">
        <v>450</v>
      </c>
    </row>
    <row r="99" spans="4:11">
      <c r="D99" s="133" t="s">
        <v>181</v>
      </c>
      <c r="F99" s="81" t="s">
        <v>451</v>
      </c>
      <c r="G99" s="81" t="s">
        <v>449</v>
      </c>
      <c r="H99" s="81"/>
      <c r="I99" s="81" t="s">
        <v>452</v>
      </c>
      <c r="K99" s="81" t="s">
        <v>450</v>
      </c>
    </row>
    <row r="100" spans="4:11">
      <c r="D100" s="133" t="s">
        <v>181</v>
      </c>
      <c r="F100" s="81" t="s">
        <v>453</v>
      </c>
      <c r="G100" s="81" t="s">
        <v>454</v>
      </c>
      <c r="H100" s="81"/>
      <c r="I100" s="81" t="s">
        <v>416</v>
      </c>
      <c r="K100" s="81" t="s">
        <v>455</v>
      </c>
    </row>
    <row r="101" spans="4:11">
      <c r="D101" s="133" t="s">
        <v>180</v>
      </c>
      <c r="F101" s="81" t="s">
        <v>456</v>
      </c>
      <c r="G101" s="81" t="s">
        <v>457</v>
      </c>
      <c r="H101" s="81"/>
      <c r="I101" s="81"/>
      <c r="K101" s="81" t="s">
        <v>458</v>
      </c>
    </row>
    <row r="102" spans="4:11">
      <c r="D102" s="133" t="s">
        <v>180</v>
      </c>
      <c r="F102" s="81" t="s">
        <v>459</v>
      </c>
      <c r="G102" s="81" t="s">
        <v>460</v>
      </c>
      <c r="H102" s="81"/>
      <c r="I102" s="81" t="s">
        <v>461</v>
      </c>
      <c r="K102" s="81" t="s">
        <v>462</v>
      </c>
    </row>
    <row r="103" spans="4:11">
      <c r="D103" s="133" t="s">
        <v>180</v>
      </c>
      <c r="F103" s="81" t="s">
        <v>459</v>
      </c>
      <c r="G103" s="81" t="s">
        <v>463</v>
      </c>
      <c r="H103" s="81"/>
      <c r="I103" s="81" t="s">
        <v>461</v>
      </c>
      <c r="K103" s="81" t="s">
        <v>462</v>
      </c>
    </row>
    <row r="104" spans="4:11">
      <c r="D104" s="133" t="s">
        <v>180</v>
      </c>
      <c r="F104" s="81" t="s">
        <v>459</v>
      </c>
      <c r="G104" s="81" t="s">
        <v>464</v>
      </c>
      <c r="I104" s="81" t="s">
        <v>465</v>
      </c>
      <c r="K104" s="81" t="s">
        <v>462</v>
      </c>
    </row>
    <row r="105" spans="4:11">
      <c r="D105" s="133" t="s">
        <v>180</v>
      </c>
      <c r="F105" s="81" t="s">
        <v>466</v>
      </c>
      <c r="G105" s="81" t="s">
        <v>467</v>
      </c>
      <c r="H105" s="81"/>
      <c r="I105" s="81" t="s">
        <v>468</v>
      </c>
      <c r="K105" s="81" t="s">
        <v>469</v>
      </c>
    </row>
    <row r="106" spans="4:11">
      <c r="D106" s="133" t="s">
        <v>180</v>
      </c>
      <c r="F106" s="81" t="s">
        <v>456</v>
      </c>
      <c r="G106" s="81" t="s">
        <v>470</v>
      </c>
      <c r="H106" s="81"/>
      <c r="I106" s="81" t="s">
        <v>471</v>
      </c>
      <c r="K106" s="81" t="s">
        <v>472</v>
      </c>
    </row>
    <row r="107" spans="4:11">
      <c r="D107" s="133" t="s">
        <v>180</v>
      </c>
      <c r="F107" s="81" t="s">
        <v>456</v>
      </c>
      <c r="G107" s="81" t="s">
        <v>473</v>
      </c>
      <c r="H107" s="81"/>
      <c r="I107" s="81" t="s">
        <v>474</v>
      </c>
      <c r="K107" s="81" t="s">
        <v>472</v>
      </c>
    </row>
    <row r="108" spans="4:11">
      <c r="D108" s="133" t="s">
        <v>180</v>
      </c>
      <c r="F108" s="81" t="s">
        <v>475</v>
      </c>
      <c r="G108" s="81" t="s">
        <v>476</v>
      </c>
      <c r="H108" s="81"/>
      <c r="I108" s="81" t="s">
        <v>477</v>
      </c>
      <c r="K108" s="81" t="s">
        <v>478</v>
      </c>
    </row>
    <row r="109" spans="4:11">
      <c r="D109" s="133" t="s">
        <v>180</v>
      </c>
      <c r="F109" s="81" t="s">
        <v>479</v>
      </c>
      <c r="G109" s="81" t="s">
        <v>480</v>
      </c>
      <c r="H109" s="81"/>
      <c r="I109" s="81" t="s">
        <v>481</v>
      </c>
      <c r="K109" s="81" t="s">
        <v>482</v>
      </c>
    </row>
    <row r="110" spans="4:11">
      <c r="D110" s="133" t="s">
        <v>180</v>
      </c>
      <c r="F110" s="81" t="s">
        <v>483</v>
      </c>
      <c r="G110" s="81" t="s">
        <v>484</v>
      </c>
      <c r="H110" s="81"/>
      <c r="I110" s="81" t="s">
        <v>485</v>
      </c>
      <c r="K110" s="81" t="s">
        <v>486</v>
      </c>
    </row>
    <row r="111" spans="4:11">
      <c r="D111" s="133" t="s">
        <v>180</v>
      </c>
      <c r="F111" s="81" t="s">
        <v>487</v>
      </c>
      <c r="G111" s="81" t="s">
        <v>488</v>
      </c>
      <c r="H111" s="81"/>
      <c r="I111" s="81" t="s">
        <v>481</v>
      </c>
      <c r="K111" s="81" t="s">
        <v>489</v>
      </c>
    </row>
    <row r="112" spans="4:11">
      <c r="D112" s="133" t="s">
        <v>180</v>
      </c>
      <c r="F112" s="81" t="s">
        <v>490</v>
      </c>
      <c r="G112" s="81" t="s">
        <v>491</v>
      </c>
      <c r="H112" s="81"/>
      <c r="I112" s="81" t="s">
        <v>193</v>
      </c>
      <c r="K112" s="81" t="s">
        <v>492</v>
      </c>
    </row>
    <row r="113" spans="4:11">
      <c r="D113" s="133" t="s">
        <v>180</v>
      </c>
      <c r="F113" s="81" t="s">
        <v>493</v>
      </c>
      <c r="G113" s="81" t="s">
        <v>488</v>
      </c>
      <c r="H113" s="81"/>
      <c r="I113" s="133" t="s">
        <v>494</v>
      </c>
      <c r="K113" s="81" t="s">
        <v>489</v>
      </c>
    </row>
    <row r="114" spans="4:11">
      <c r="D114" s="133" t="s">
        <v>180</v>
      </c>
      <c r="F114" s="81" t="s">
        <v>495</v>
      </c>
      <c r="G114" s="81" t="s">
        <v>496</v>
      </c>
      <c r="H114" s="81"/>
      <c r="I114" s="81" t="s">
        <v>432</v>
      </c>
      <c r="K114" s="81" t="s">
        <v>497</v>
      </c>
    </row>
    <row r="115" spans="4:11">
      <c r="D115" s="133" t="s">
        <v>180</v>
      </c>
      <c r="F115" s="81" t="s">
        <v>498</v>
      </c>
      <c r="G115" s="81" t="s">
        <v>499</v>
      </c>
      <c r="H115" s="81"/>
      <c r="I115" s="81" t="s">
        <v>395</v>
      </c>
      <c r="K115" s="81" t="s">
        <v>500</v>
      </c>
    </row>
    <row r="116" spans="4:11">
      <c r="D116" s="133" t="s">
        <v>180</v>
      </c>
      <c r="F116" s="81" t="s">
        <v>501</v>
      </c>
      <c r="G116" s="81" t="s">
        <v>398</v>
      </c>
      <c r="H116" s="81"/>
      <c r="I116" s="133" t="s">
        <v>502</v>
      </c>
      <c r="K116" s="81" t="s">
        <v>503</v>
      </c>
    </row>
    <row r="117" spans="4:11">
      <c r="D117" s="133" t="s">
        <v>180</v>
      </c>
      <c r="F117" s="81" t="s">
        <v>504</v>
      </c>
      <c r="G117" s="81" t="s">
        <v>505</v>
      </c>
      <c r="H117" s="81"/>
      <c r="I117" s="81" t="s">
        <v>506</v>
      </c>
      <c r="K117" s="81" t="s">
        <v>507</v>
      </c>
    </row>
    <row r="118" spans="4:11">
      <c r="D118" s="133" t="s">
        <v>180</v>
      </c>
      <c r="F118" s="81" t="s">
        <v>508</v>
      </c>
      <c r="G118" s="81" t="s">
        <v>491</v>
      </c>
      <c r="H118" s="81"/>
      <c r="I118" s="81" t="s">
        <v>509</v>
      </c>
      <c r="K118" s="81" t="s">
        <v>510</v>
      </c>
    </row>
    <row r="119" spans="4:11">
      <c r="D119" s="133" t="s">
        <v>180</v>
      </c>
      <c r="F119" s="81" t="s">
        <v>511</v>
      </c>
      <c r="G119" s="81" t="s">
        <v>512</v>
      </c>
      <c r="H119" s="81"/>
      <c r="I119" s="81" t="s">
        <v>395</v>
      </c>
      <c r="K119" s="81" t="s">
        <v>513</v>
      </c>
    </row>
    <row r="120" spans="4:11">
      <c r="D120" s="133" t="s">
        <v>180</v>
      </c>
      <c r="F120" s="81" t="s">
        <v>490</v>
      </c>
      <c r="G120" s="81" t="s">
        <v>514</v>
      </c>
      <c r="I120" s="81" t="s">
        <v>515</v>
      </c>
      <c r="K120" s="81" t="s">
        <v>516</v>
      </c>
    </row>
    <row r="121" spans="4:11">
      <c r="F121" s="81"/>
    </row>
    <row r="122" spans="4:11">
      <c r="F122" s="81"/>
    </row>
    <row r="123" spans="4:11">
      <c r="F123" s="81"/>
    </row>
    <row r="124" spans="4:11">
      <c r="F124" s="81"/>
    </row>
    <row r="125" spans="4:11">
      <c r="F125" s="81"/>
    </row>
  </sheetData>
  <sortState xmlns:xlrd2="http://schemas.microsoft.com/office/spreadsheetml/2017/richdata2" ref="B2:L77">
    <sortCondition ref="D2:D77"/>
  </sortState>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312545-E952-4F9B-8F73-09DE7623C7D5}">
  <sheetPr codeName="工作表3"/>
  <dimension ref="A2:I53"/>
  <sheetViews>
    <sheetView topLeftCell="A9" workbookViewId="0">
      <selection activeCell="B37" sqref="B36:B37"/>
    </sheetView>
  </sheetViews>
  <sheetFormatPr defaultRowHeight="14"/>
  <cols>
    <col min="1" max="1" width="15" style="81" customWidth="1"/>
    <col min="2" max="2" width="14.08984375" style="81" customWidth="1"/>
    <col min="3" max="3" width="15.26953125" style="81" customWidth="1"/>
    <col min="4" max="4" width="8.7265625" style="128"/>
    <col min="5" max="16384" width="8.7265625" style="81"/>
  </cols>
  <sheetData>
    <row r="2" spans="1:9" ht="14.5">
      <c r="B2" s="81" t="s">
        <v>110</v>
      </c>
      <c r="C2" s="81" t="s">
        <v>84</v>
      </c>
      <c r="D2" s="128" t="s">
        <v>259</v>
      </c>
    </row>
    <row r="3" spans="1:9" ht="14.5">
      <c r="A3" s="127" t="s">
        <v>74</v>
      </c>
      <c r="B3" s="81" t="s">
        <v>109</v>
      </c>
      <c r="C3" s="81" t="s">
        <v>84</v>
      </c>
      <c r="D3" s="128" t="s">
        <v>34</v>
      </c>
    </row>
    <row r="4" spans="1:9" ht="15.5" customHeight="1">
      <c r="B4" s="81" t="s">
        <v>110</v>
      </c>
      <c r="D4" s="128" t="s">
        <v>106</v>
      </c>
    </row>
    <row r="5" spans="1:9" ht="15.5" customHeight="1"/>
    <row r="6" spans="1:9" ht="15.5" customHeight="1">
      <c r="B6" s="81" t="s">
        <v>110</v>
      </c>
      <c r="C6" s="81" t="s">
        <v>83</v>
      </c>
      <c r="D6" s="128" t="s">
        <v>108</v>
      </c>
    </row>
    <row r="7" spans="1:9" ht="15.5" customHeight="1">
      <c r="D7" s="128" t="s">
        <v>111</v>
      </c>
    </row>
    <row r="9" spans="1:9">
      <c r="A9" s="127"/>
    </row>
    <row r="12" spans="1:9">
      <c r="A12" s="127" t="s">
        <v>80</v>
      </c>
      <c r="C12" s="81" t="s">
        <v>84</v>
      </c>
      <c r="D12" s="128" t="s">
        <v>79</v>
      </c>
    </row>
    <row r="13" spans="1:9">
      <c r="A13" s="127" t="s">
        <v>80</v>
      </c>
      <c r="C13" s="81" t="s">
        <v>44</v>
      </c>
      <c r="D13" s="128" t="s">
        <v>81</v>
      </c>
    </row>
    <row r="14" spans="1:9">
      <c r="A14" s="127"/>
      <c r="B14" s="127"/>
      <c r="C14" s="127"/>
      <c r="D14" s="129" t="s">
        <v>533</v>
      </c>
      <c r="E14" s="127"/>
    </row>
    <row r="15" spans="1:9">
      <c r="F15" s="127"/>
      <c r="G15" s="127"/>
      <c r="H15" s="127"/>
      <c r="I15" s="127"/>
    </row>
    <row r="16" spans="1:9">
      <c r="E16" s="127"/>
      <c r="F16" s="127"/>
      <c r="G16" s="127"/>
      <c r="H16" s="127"/>
      <c r="I16" s="127"/>
    </row>
    <row r="17" spans="1:9">
      <c r="E17" s="127"/>
      <c r="F17" s="127"/>
      <c r="G17" s="127"/>
      <c r="H17" s="127"/>
      <c r="I17" s="127"/>
    </row>
    <row r="18" spans="1:9">
      <c r="A18" s="127"/>
      <c r="B18" s="127"/>
      <c r="C18" s="127"/>
      <c r="D18" s="129"/>
      <c r="E18" s="127"/>
      <c r="F18" s="127"/>
      <c r="G18" s="127"/>
      <c r="H18" s="127"/>
      <c r="I18" s="127"/>
    </row>
    <row r="20" spans="1:9" ht="14.5">
      <c r="A20" s="127" t="s">
        <v>88</v>
      </c>
      <c r="B20" s="81" t="s">
        <v>99</v>
      </c>
    </row>
    <row r="21" spans="1:9">
      <c r="A21" s="127" t="s">
        <v>88</v>
      </c>
      <c r="B21" s="81" t="s">
        <v>78</v>
      </c>
      <c r="C21" s="81" t="s">
        <v>84</v>
      </c>
      <c r="D21" s="128" t="s">
        <v>94</v>
      </c>
    </row>
    <row r="22" spans="1:9">
      <c r="A22" s="127" t="s">
        <v>88</v>
      </c>
      <c r="B22" s="81" t="s">
        <v>78</v>
      </c>
      <c r="C22" s="81" t="s">
        <v>44</v>
      </c>
      <c r="D22" s="128" t="s">
        <v>76</v>
      </c>
    </row>
    <row r="23" spans="1:9">
      <c r="A23" s="127" t="s">
        <v>88</v>
      </c>
      <c r="B23" s="81" t="s">
        <v>77</v>
      </c>
      <c r="D23" s="128" t="s">
        <v>95</v>
      </c>
    </row>
    <row r="24" spans="1:9">
      <c r="A24" s="127" t="s">
        <v>88</v>
      </c>
    </row>
    <row r="25" spans="1:9" ht="14.5">
      <c r="A25" s="127" t="s">
        <v>88</v>
      </c>
      <c r="B25" s="81" t="s">
        <v>100</v>
      </c>
    </row>
    <row r="26" spans="1:9">
      <c r="A26" s="127" t="s">
        <v>88</v>
      </c>
      <c r="B26" s="81" t="s">
        <v>78</v>
      </c>
      <c r="C26" s="81" t="s">
        <v>83</v>
      </c>
      <c r="D26" s="128" t="s">
        <v>96</v>
      </c>
    </row>
    <row r="27" spans="1:9">
      <c r="A27" s="127" t="s">
        <v>88</v>
      </c>
      <c r="B27" s="81" t="s">
        <v>78</v>
      </c>
      <c r="C27" s="81" t="s">
        <v>84</v>
      </c>
      <c r="D27" s="128" t="s">
        <v>82</v>
      </c>
    </row>
    <row r="28" spans="1:9">
      <c r="A28" s="127" t="s">
        <v>88</v>
      </c>
      <c r="B28" s="81" t="s">
        <v>78</v>
      </c>
      <c r="C28" s="81" t="s">
        <v>84</v>
      </c>
      <c r="D28" s="128" t="s">
        <v>85</v>
      </c>
    </row>
    <row r="29" spans="1:9">
      <c r="A29" s="127" t="s">
        <v>88</v>
      </c>
      <c r="B29" s="81" t="s">
        <v>78</v>
      </c>
      <c r="C29" s="81" t="s">
        <v>84</v>
      </c>
      <c r="D29" s="128" t="s">
        <v>86</v>
      </c>
    </row>
    <row r="30" spans="1:9">
      <c r="A30" s="127" t="s">
        <v>88</v>
      </c>
    </row>
    <row r="31" spans="1:9" ht="14.5">
      <c r="A31" s="127" t="s">
        <v>88</v>
      </c>
      <c r="B31" s="81" t="s">
        <v>101</v>
      </c>
    </row>
    <row r="32" spans="1:9">
      <c r="A32" s="127" t="s">
        <v>88</v>
      </c>
      <c r="B32" s="81" t="s">
        <v>78</v>
      </c>
      <c r="C32" s="81" t="s">
        <v>44</v>
      </c>
      <c r="D32" s="128" t="s">
        <v>97</v>
      </c>
    </row>
    <row r="33" spans="1:5">
      <c r="A33" s="127" t="s">
        <v>88</v>
      </c>
      <c r="B33" s="81" t="s">
        <v>78</v>
      </c>
      <c r="C33" s="81" t="s">
        <v>84</v>
      </c>
      <c r="D33" s="128" t="s">
        <v>98</v>
      </c>
    </row>
    <row r="36" spans="1:5">
      <c r="A36" s="231" t="s">
        <v>534</v>
      </c>
      <c r="B36" s="233"/>
      <c r="D36" s="233" t="s">
        <v>535</v>
      </c>
    </row>
    <row r="37" spans="1:5">
      <c r="A37" s="232" t="s">
        <v>536</v>
      </c>
      <c r="B37" s="131"/>
      <c r="D37" s="131" t="s">
        <v>537</v>
      </c>
    </row>
    <row r="48" spans="1:5">
      <c r="A48" s="127" t="s">
        <v>104</v>
      </c>
      <c r="B48" s="127"/>
      <c r="C48" s="127"/>
      <c r="D48" s="130" t="s">
        <v>105</v>
      </c>
      <c r="E48" s="127"/>
    </row>
    <row r="51" spans="1:4">
      <c r="A51" s="127" t="s">
        <v>104</v>
      </c>
      <c r="D51" s="128" t="s">
        <v>527</v>
      </c>
    </row>
    <row r="52" spans="1:4">
      <c r="D52" s="128" t="s">
        <v>526</v>
      </c>
    </row>
    <row r="53" spans="1:4">
      <c r="D53" s="81" t="s">
        <v>528</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BCD92-4D4B-473E-959C-338E04BD0642}">
  <sheetPr codeName="工作表5"/>
  <dimension ref="A1:Z155"/>
  <sheetViews>
    <sheetView view="pageBreakPreview" topLeftCell="A8" zoomScale="130" zoomScaleNormal="100" zoomScaleSheetLayoutView="130" workbookViewId="0">
      <selection activeCell="E30" sqref="E30:X30"/>
    </sheetView>
  </sheetViews>
  <sheetFormatPr defaultRowHeight="12" customHeight="1"/>
  <cols>
    <col min="1" max="24" width="3.6328125" style="151" customWidth="1"/>
    <col min="25" max="25" width="8.7265625" style="151"/>
    <col min="26" max="26" width="18.26953125" style="151" customWidth="1"/>
    <col min="27" max="16384" width="8.7265625" style="151"/>
  </cols>
  <sheetData>
    <row r="1" spans="1:26" ht="14" customHeight="1">
      <c r="A1" s="327"/>
      <c r="B1" s="327"/>
      <c r="C1" s="327"/>
      <c r="D1" s="327"/>
      <c r="E1" s="327"/>
      <c r="F1" s="327"/>
      <c r="G1" s="327"/>
      <c r="H1" s="327"/>
      <c r="I1" s="327"/>
      <c r="J1" s="327"/>
      <c r="K1" s="327"/>
      <c r="L1" s="327"/>
      <c r="M1" s="327"/>
      <c r="N1" s="327"/>
      <c r="O1" s="327"/>
      <c r="P1" s="327"/>
      <c r="Q1" s="327"/>
      <c r="R1" s="327"/>
      <c r="S1" s="327"/>
      <c r="T1" s="327"/>
      <c r="U1" s="327"/>
      <c r="V1" s="327"/>
      <c r="W1" s="327"/>
      <c r="X1" s="327"/>
    </row>
    <row r="2" spans="1:26" ht="14" customHeight="1">
      <c r="A2" s="327" t="s">
        <v>266</v>
      </c>
      <c r="B2" s="327"/>
      <c r="C2" s="327"/>
      <c r="D2" s="327"/>
      <c r="E2" s="327"/>
      <c r="F2" s="327"/>
      <c r="G2" s="327"/>
      <c r="H2" s="327"/>
      <c r="I2" s="327"/>
      <c r="J2" s="334" t="str">
        <f>"Messrs. "&amp;_xlfn.XLOOKUP(裝櫃表格!E10,裝櫃表格!AK1:AK6,裝櫃表格!AL1:AL6,"",0,1)</f>
        <v>Messrs. Yieh United Steel Corporation</v>
      </c>
      <c r="K2" s="334"/>
      <c r="L2" s="334"/>
      <c r="M2" s="334"/>
      <c r="N2" s="334"/>
      <c r="O2" s="334"/>
      <c r="P2" s="334"/>
      <c r="Q2" s="334"/>
      <c r="R2" s="334"/>
      <c r="S2" s="334"/>
      <c r="T2" s="334"/>
      <c r="U2" s="334"/>
      <c r="V2" s="334"/>
      <c r="W2" s="334"/>
      <c r="X2" s="334"/>
    </row>
    <row r="3" spans="1:26" ht="14" customHeight="1">
      <c r="A3" s="151" t="str">
        <f>裝櫃表格!A7&amp;裝櫃表格!E7</f>
        <v>W.O. No. MIN-24301117</v>
      </c>
    </row>
    <row r="4" spans="1:26" ht="14" customHeight="1">
      <c r="Z4" s="169">
        <f>裝櫃表格!E7</f>
        <v>24301117</v>
      </c>
    </row>
    <row r="5" spans="1:26" ht="18" customHeight="1">
      <c r="A5" s="333" t="s">
        <v>267</v>
      </c>
      <c r="B5" s="333"/>
      <c r="C5" s="333"/>
      <c r="D5" s="333"/>
      <c r="E5" s="333"/>
      <c r="F5" s="333"/>
      <c r="G5" s="333"/>
      <c r="H5" s="333"/>
      <c r="I5" s="333"/>
      <c r="J5" s="333"/>
      <c r="K5" s="333"/>
      <c r="L5" s="333"/>
      <c r="M5" s="333"/>
      <c r="N5" s="333"/>
      <c r="O5" s="333"/>
      <c r="P5" s="333"/>
      <c r="Q5" s="333"/>
      <c r="R5" s="333"/>
      <c r="S5" s="333"/>
      <c r="T5" s="333"/>
      <c r="U5" s="333"/>
      <c r="V5" s="333"/>
      <c r="W5" s="333"/>
      <c r="X5" s="333"/>
      <c r="Z5" s="169" t="s">
        <v>610</v>
      </c>
    </row>
    <row r="6" spans="1:26" ht="14" customHeight="1">
      <c r="Z6" s="235">
        <v>45371</v>
      </c>
    </row>
    <row r="7" spans="1:26" ht="46.5" customHeight="1">
      <c r="A7" s="313" t="str">
        <f>裝櫃表格!AB8</f>
        <v>In accordance with the instructions received, we attended on April 01~03, 2024,  at the export godown of the ASIA PACIFIC container terminal, in Kaohsiung City, for the purpose of conducting the container stuffing inspection of the following consignment, and we report as follows -</v>
      </c>
      <c r="B7" s="313"/>
      <c r="C7" s="313"/>
      <c r="D7" s="313"/>
      <c r="E7" s="313"/>
      <c r="F7" s="313"/>
      <c r="G7" s="313"/>
      <c r="H7" s="313"/>
      <c r="I7" s="313"/>
      <c r="J7" s="313"/>
      <c r="K7" s="313"/>
      <c r="L7" s="313"/>
      <c r="M7" s="313"/>
      <c r="N7" s="313"/>
      <c r="O7" s="313"/>
      <c r="P7" s="313"/>
      <c r="Q7" s="313"/>
      <c r="R7" s="313"/>
      <c r="S7" s="313"/>
      <c r="T7" s="313"/>
      <c r="U7" s="313"/>
      <c r="V7" s="313"/>
      <c r="W7" s="313"/>
      <c r="X7" s="313"/>
    </row>
    <row r="8" spans="1:26" ht="14" customHeight="1">
      <c r="A8" s="327"/>
      <c r="B8" s="327"/>
      <c r="C8" s="327"/>
      <c r="D8" s="327"/>
      <c r="E8" s="327"/>
      <c r="F8" s="327"/>
      <c r="G8" s="327"/>
      <c r="H8" s="327"/>
      <c r="I8" s="327"/>
      <c r="J8" s="327"/>
      <c r="K8" s="327"/>
      <c r="L8" s="327"/>
      <c r="M8" s="327"/>
      <c r="N8" s="327"/>
      <c r="O8" s="327"/>
      <c r="P8" s="327"/>
      <c r="Q8" s="327"/>
      <c r="R8" s="327"/>
      <c r="S8" s="327"/>
      <c r="T8" s="327"/>
      <c r="U8" s="327"/>
      <c r="V8" s="327"/>
      <c r="W8" s="327"/>
      <c r="X8" s="327"/>
    </row>
    <row r="9" spans="1:26" ht="14" customHeight="1">
      <c r="A9" s="339" t="s">
        <v>609</v>
      </c>
      <c r="B9" s="339"/>
      <c r="C9" s="339"/>
      <c r="D9" s="339"/>
      <c r="E9" s="335" t="str">
        <f>裝櫃表格!AB6</f>
        <v>15,113.325 MT(Net Weight), 15,128.340 MT(Gross Weight), 135 coils, comprising of</v>
      </c>
      <c r="F9" s="335"/>
      <c r="G9" s="335"/>
      <c r="H9" s="335"/>
      <c r="I9" s="335"/>
      <c r="J9" s="335"/>
      <c r="K9" s="335"/>
      <c r="L9" s="335"/>
      <c r="M9" s="335"/>
      <c r="N9" s="335"/>
      <c r="O9" s="335"/>
      <c r="P9" s="335"/>
      <c r="Q9" s="335"/>
      <c r="R9" s="335"/>
      <c r="S9" s="335"/>
      <c r="T9" s="335"/>
      <c r="U9" s="335"/>
      <c r="V9" s="335"/>
      <c r="W9" s="335"/>
      <c r="X9" s="335"/>
    </row>
    <row r="10" spans="1:26" ht="14" customHeight="1">
      <c r="A10" s="340" t="s">
        <v>70</v>
      </c>
      <c r="B10" s="340"/>
      <c r="C10" s="340"/>
      <c r="D10" s="340"/>
      <c r="E10" s="313" t="str">
        <f>裝櫃表格!E16</f>
        <v>STAINLESS STEEL HOT ROLLED COILS, DIN EN 10088-4 1.4301/1.4307, NO.1 FINISH MILL EDGE</v>
      </c>
      <c r="F10" s="313"/>
      <c r="G10" s="313"/>
      <c r="H10" s="313"/>
      <c r="I10" s="313"/>
      <c r="J10" s="313"/>
      <c r="K10" s="313"/>
      <c r="L10" s="313"/>
      <c r="M10" s="313"/>
      <c r="N10" s="313"/>
      <c r="O10" s="313"/>
      <c r="P10" s="313"/>
      <c r="Q10" s="313"/>
      <c r="R10" s="313"/>
      <c r="S10" s="313"/>
      <c r="T10" s="313"/>
      <c r="U10" s="313"/>
      <c r="V10" s="313"/>
      <c r="W10" s="313"/>
      <c r="X10" s="313"/>
    </row>
    <row r="11" spans="1:26" ht="14" customHeight="1">
      <c r="A11" s="341" t="s">
        <v>71</v>
      </c>
      <c r="B11" s="341"/>
      <c r="C11" s="341"/>
      <c r="D11" s="341"/>
      <c r="E11" s="314"/>
      <c r="F11" s="314"/>
      <c r="G11" s="314"/>
      <c r="H11" s="314"/>
      <c r="I11" s="314"/>
      <c r="J11" s="314"/>
      <c r="K11" s="314"/>
      <c r="L11" s="314"/>
      <c r="M11" s="314"/>
      <c r="N11" s="314"/>
      <c r="O11" s="314"/>
      <c r="P11" s="314"/>
      <c r="Q11" s="314"/>
      <c r="R11" s="314"/>
      <c r="S11" s="314"/>
      <c r="T11" s="314"/>
      <c r="U11" s="314"/>
      <c r="V11" s="314"/>
      <c r="W11" s="314"/>
      <c r="X11" s="314"/>
    </row>
    <row r="12" spans="1:26" ht="14" customHeight="1">
      <c r="D12" s="152"/>
      <c r="E12" s="336" t="s">
        <v>43</v>
      </c>
      <c r="F12" s="337"/>
      <c r="G12" s="337"/>
      <c r="H12" s="338"/>
      <c r="I12" s="336" t="s">
        <v>42</v>
      </c>
      <c r="J12" s="337"/>
      <c r="K12" s="337"/>
      <c r="L12" s="338"/>
      <c r="M12" s="336" t="s">
        <v>72</v>
      </c>
      <c r="N12" s="337"/>
      <c r="O12" s="337"/>
      <c r="P12" s="338"/>
      <c r="Q12" s="336" t="s">
        <v>48</v>
      </c>
      <c r="R12" s="337"/>
      <c r="S12" s="337"/>
      <c r="T12" s="338"/>
      <c r="U12" s="336" t="s">
        <v>64</v>
      </c>
      <c r="V12" s="337"/>
      <c r="W12" s="337"/>
      <c r="X12" s="338"/>
    </row>
    <row r="13" spans="1:26" ht="14" customHeight="1">
      <c r="D13" s="152"/>
      <c r="E13" s="328">
        <f>IF(裝櫃表格!A36="","",裝櫃表格!A36)</f>
        <v>1001</v>
      </c>
      <c r="F13" s="328"/>
      <c r="G13" s="328"/>
      <c r="H13" s="328"/>
      <c r="I13" s="318" t="str">
        <f>IF(裝櫃表格!E36="","",裝櫃表格!E36)</f>
        <v>PPG112545</v>
      </c>
      <c r="J13" s="319"/>
      <c r="K13" s="319"/>
      <c r="L13" s="320"/>
      <c r="M13" s="316" t="str">
        <f>IF(裝櫃表格!I36="","",TEXT(裝櫃表格!I36,"#,##0.000"))</f>
        <v>1,000.555</v>
      </c>
      <c r="N13" s="317"/>
      <c r="O13" s="317"/>
      <c r="P13" s="154" t="str">
        <f t="shared" ref="P13:P28" si="0">IF(E13="","","MT")</f>
        <v>MT</v>
      </c>
      <c r="Q13" s="316" t="str">
        <f>IF(裝櫃表格!M36="","",TEXT(裝櫃表格!M36,"#,##0.000"))</f>
        <v>1,001.556</v>
      </c>
      <c r="R13" s="317"/>
      <c r="S13" s="317"/>
      <c r="T13" s="154" t="str">
        <f t="shared" ref="T13:T28" si="1">IF(E13="","","MT")</f>
        <v>MT</v>
      </c>
      <c r="U13" s="321">
        <f>IF(裝櫃表格!Q36="","",裝櫃表格!Q36)</f>
        <v>2</v>
      </c>
      <c r="V13" s="322"/>
      <c r="W13" s="323" t="str">
        <f>IF(裝櫃表格!S36="","",裝櫃表格!S36)</f>
        <v>coils</v>
      </c>
      <c r="X13" s="324"/>
    </row>
    <row r="14" spans="1:26" ht="14" customHeight="1">
      <c r="D14" s="152"/>
      <c r="E14" s="328">
        <f>IF(裝櫃表格!A37="","",裝櫃表格!A37)</f>
        <v>1002</v>
      </c>
      <c r="F14" s="328"/>
      <c r="G14" s="328"/>
      <c r="H14" s="328"/>
      <c r="I14" s="318" t="str">
        <f>IF(裝櫃表格!E37="","",裝櫃表格!E37)</f>
        <v>PPG112546</v>
      </c>
      <c r="J14" s="319"/>
      <c r="K14" s="319"/>
      <c r="L14" s="320"/>
      <c r="M14" s="316" t="str">
        <f>IF(裝櫃表格!I37="","",TEXT(裝櫃表格!I37,"#,##0.000"))</f>
        <v>1,001.555</v>
      </c>
      <c r="N14" s="317"/>
      <c r="O14" s="317"/>
      <c r="P14" s="154" t="str">
        <f t="shared" si="0"/>
        <v>MT</v>
      </c>
      <c r="Q14" s="316" t="str">
        <f>IF(裝櫃表格!M37="","",TEXT(裝櫃表格!M37,"#,##0.000"))</f>
        <v>1,002.556</v>
      </c>
      <c r="R14" s="317"/>
      <c r="S14" s="317"/>
      <c r="T14" s="154" t="str">
        <f t="shared" si="1"/>
        <v>MT</v>
      </c>
      <c r="U14" s="325">
        <f>IF(裝櫃表格!Q37="","",裝櫃表格!Q37)</f>
        <v>3</v>
      </c>
      <c r="V14" s="326"/>
      <c r="W14" s="323" t="str">
        <f>IF(裝櫃表格!S37="","",裝櫃表格!S37)</f>
        <v>coils</v>
      </c>
      <c r="X14" s="324"/>
    </row>
    <row r="15" spans="1:26" ht="14" customHeight="1">
      <c r="D15" s="152"/>
      <c r="E15" s="328">
        <f>IF(裝櫃表格!A38="","",裝櫃表格!A38)</f>
        <v>1003</v>
      </c>
      <c r="F15" s="328"/>
      <c r="G15" s="328"/>
      <c r="H15" s="328"/>
      <c r="I15" s="318" t="str">
        <f>IF(裝櫃表格!E38="","",裝櫃表格!E38)</f>
        <v>PPG112547</v>
      </c>
      <c r="J15" s="319"/>
      <c r="K15" s="319"/>
      <c r="L15" s="320"/>
      <c r="M15" s="316" t="str">
        <f>IF(裝櫃表格!I38="","",TEXT(裝櫃表格!I38,"#,##0.000"))</f>
        <v>1,002.555</v>
      </c>
      <c r="N15" s="317"/>
      <c r="O15" s="317"/>
      <c r="P15" s="154" t="str">
        <f t="shared" si="0"/>
        <v>MT</v>
      </c>
      <c r="Q15" s="316" t="str">
        <f>IF(裝櫃表格!M38="","",TEXT(裝櫃表格!M38,"#,##0.000"))</f>
        <v>1,003.556</v>
      </c>
      <c r="R15" s="317"/>
      <c r="S15" s="317"/>
      <c r="T15" s="154" t="str">
        <f t="shared" si="1"/>
        <v>MT</v>
      </c>
      <c r="U15" s="325">
        <f>IF(裝櫃表格!Q38="","",裝櫃表格!Q38)</f>
        <v>4</v>
      </c>
      <c r="V15" s="326"/>
      <c r="W15" s="323" t="str">
        <f>IF(裝櫃表格!S38="","",裝櫃表格!S38)</f>
        <v>coils</v>
      </c>
      <c r="X15" s="324"/>
    </row>
    <row r="16" spans="1:26" ht="14" customHeight="1">
      <c r="D16" s="152"/>
      <c r="E16" s="328">
        <f>IF(裝櫃表格!A39="","",裝櫃表格!A39)</f>
        <v>1004</v>
      </c>
      <c r="F16" s="328"/>
      <c r="G16" s="328"/>
      <c r="H16" s="328"/>
      <c r="I16" s="318" t="str">
        <f>IF(裝櫃表格!E39="","",裝櫃表格!E39)</f>
        <v>PPG112548</v>
      </c>
      <c r="J16" s="319"/>
      <c r="K16" s="319"/>
      <c r="L16" s="320"/>
      <c r="M16" s="316" t="str">
        <f>IF(裝櫃表格!I39="","",TEXT(裝櫃表格!I39,"#,##0.000"))</f>
        <v>1,003.555</v>
      </c>
      <c r="N16" s="317"/>
      <c r="O16" s="317"/>
      <c r="P16" s="154" t="str">
        <f t="shared" si="0"/>
        <v>MT</v>
      </c>
      <c r="Q16" s="316" t="str">
        <f>IF(裝櫃表格!M39="","",TEXT(裝櫃表格!M39,"#,##0.000"))</f>
        <v>1,004.556</v>
      </c>
      <c r="R16" s="317"/>
      <c r="S16" s="317"/>
      <c r="T16" s="154" t="str">
        <f t="shared" si="1"/>
        <v>MT</v>
      </c>
      <c r="U16" s="325">
        <f>IF(裝櫃表格!Q39="","",裝櫃表格!Q39)</f>
        <v>5</v>
      </c>
      <c r="V16" s="326"/>
      <c r="W16" s="323" t="str">
        <f>IF(裝櫃表格!S39="","",裝櫃表格!S39)</f>
        <v>coils</v>
      </c>
      <c r="X16" s="324"/>
    </row>
    <row r="17" spans="1:24" ht="14" customHeight="1">
      <c r="D17" s="152"/>
      <c r="E17" s="328">
        <f>IF(裝櫃表格!A40="","",裝櫃表格!A40)</f>
        <v>1005</v>
      </c>
      <c r="F17" s="328"/>
      <c r="G17" s="328"/>
      <c r="H17" s="328"/>
      <c r="I17" s="318" t="str">
        <f>IF(裝櫃表格!E40="","",裝櫃表格!E40)</f>
        <v>PPG112549</v>
      </c>
      <c r="J17" s="319"/>
      <c r="K17" s="319"/>
      <c r="L17" s="320"/>
      <c r="M17" s="316" t="str">
        <f>IF(裝櫃表格!I40="","",TEXT(裝櫃表格!I40,"#,##0.000"))</f>
        <v>1,004.555</v>
      </c>
      <c r="N17" s="317"/>
      <c r="O17" s="317"/>
      <c r="P17" s="154" t="str">
        <f t="shared" si="0"/>
        <v>MT</v>
      </c>
      <c r="Q17" s="316" t="str">
        <f>IF(裝櫃表格!M40="","",TEXT(裝櫃表格!M40,"#,##0.000"))</f>
        <v>1,005.556</v>
      </c>
      <c r="R17" s="317"/>
      <c r="S17" s="317"/>
      <c r="T17" s="154" t="str">
        <f t="shared" si="1"/>
        <v>MT</v>
      </c>
      <c r="U17" s="325">
        <f>IF(裝櫃表格!Q40="","",裝櫃表格!Q40)</f>
        <v>6</v>
      </c>
      <c r="V17" s="326"/>
      <c r="W17" s="323" t="str">
        <f>IF(裝櫃表格!S40="","",裝櫃表格!S40)</f>
        <v>coils</v>
      </c>
      <c r="X17" s="324"/>
    </row>
    <row r="18" spans="1:24" ht="14" customHeight="1">
      <c r="D18" s="152"/>
      <c r="E18" s="328">
        <f>IF(裝櫃表格!A41="","",裝櫃表格!A41)</f>
        <v>1006</v>
      </c>
      <c r="F18" s="328"/>
      <c r="G18" s="328"/>
      <c r="H18" s="328"/>
      <c r="I18" s="318" t="str">
        <f>IF(裝櫃表格!E41="","",裝櫃表格!E41)</f>
        <v>PPG112550</v>
      </c>
      <c r="J18" s="319"/>
      <c r="K18" s="319"/>
      <c r="L18" s="320"/>
      <c r="M18" s="316" t="str">
        <f>IF(裝櫃表格!I41="","",TEXT(裝櫃表格!I41,"#,##0.000"))</f>
        <v>1,005.555</v>
      </c>
      <c r="N18" s="317"/>
      <c r="O18" s="317"/>
      <c r="P18" s="154" t="str">
        <f t="shared" si="0"/>
        <v>MT</v>
      </c>
      <c r="Q18" s="316" t="str">
        <f>IF(裝櫃表格!M41="","",TEXT(裝櫃表格!M41,"#,##0.000"))</f>
        <v>1,006.556</v>
      </c>
      <c r="R18" s="317"/>
      <c r="S18" s="317"/>
      <c r="T18" s="154" t="str">
        <f t="shared" si="1"/>
        <v>MT</v>
      </c>
      <c r="U18" s="325">
        <f>IF(裝櫃表格!Q41="","",裝櫃表格!Q41)</f>
        <v>7</v>
      </c>
      <c r="V18" s="326"/>
      <c r="W18" s="323" t="str">
        <f>IF(裝櫃表格!S41="","",裝櫃表格!S41)</f>
        <v>coils</v>
      </c>
      <c r="X18" s="324"/>
    </row>
    <row r="19" spans="1:24" ht="14" customHeight="1">
      <c r="D19" s="152"/>
      <c r="E19" s="328">
        <f>IF(裝櫃表格!A42="","",裝櫃表格!A42)</f>
        <v>1007</v>
      </c>
      <c r="F19" s="328"/>
      <c r="G19" s="328"/>
      <c r="H19" s="328"/>
      <c r="I19" s="318" t="str">
        <f>IF(裝櫃表格!E42="","",裝櫃表格!E42)</f>
        <v>PPG112551</v>
      </c>
      <c r="J19" s="319"/>
      <c r="K19" s="319"/>
      <c r="L19" s="320"/>
      <c r="M19" s="316" t="str">
        <f>IF(裝櫃表格!I42="","",TEXT(裝櫃表格!I42,"#,##0.000"))</f>
        <v>1,006.555</v>
      </c>
      <c r="N19" s="317"/>
      <c r="O19" s="317"/>
      <c r="P19" s="154" t="str">
        <f t="shared" si="0"/>
        <v>MT</v>
      </c>
      <c r="Q19" s="316" t="str">
        <f>IF(裝櫃表格!M42="","",TEXT(裝櫃表格!M42,"#,##0.000"))</f>
        <v>1,007.556</v>
      </c>
      <c r="R19" s="317"/>
      <c r="S19" s="317"/>
      <c r="T19" s="154" t="str">
        <f t="shared" si="1"/>
        <v>MT</v>
      </c>
      <c r="U19" s="325">
        <f>IF(裝櫃表格!Q42="","",裝櫃表格!Q42)</f>
        <v>8</v>
      </c>
      <c r="V19" s="326"/>
      <c r="W19" s="323" t="str">
        <f>IF(裝櫃表格!S42="","",裝櫃表格!S42)</f>
        <v>coils</v>
      </c>
      <c r="X19" s="324"/>
    </row>
    <row r="20" spans="1:24" ht="14" customHeight="1">
      <c r="D20" s="152"/>
      <c r="E20" s="328">
        <f>IF(裝櫃表格!A43="","",裝櫃表格!A43)</f>
        <v>1008</v>
      </c>
      <c r="F20" s="328"/>
      <c r="G20" s="328"/>
      <c r="H20" s="328"/>
      <c r="I20" s="318" t="str">
        <f>IF(裝櫃表格!E43="","",裝櫃表格!E43)</f>
        <v>PPG112552</v>
      </c>
      <c r="J20" s="319"/>
      <c r="K20" s="319"/>
      <c r="L20" s="320"/>
      <c r="M20" s="316" t="str">
        <f>IF(裝櫃表格!I43="","",TEXT(裝櫃表格!I43,"#,##0.000"))</f>
        <v>1,007.555</v>
      </c>
      <c r="N20" s="317"/>
      <c r="O20" s="317"/>
      <c r="P20" s="154" t="str">
        <f t="shared" si="0"/>
        <v>MT</v>
      </c>
      <c r="Q20" s="316" t="str">
        <f>IF(裝櫃表格!M43="","",TEXT(裝櫃表格!M43,"#,##0.000"))</f>
        <v>1,008.556</v>
      </c>
      <c r="R20" s="317"/>
      <c r="S20" s="317"/>
      <c r="T20" s="154" t="str">
        <f t="shared" si="1"/>
        <v>MT</v>
      </c>
      <c r="U20" s="325">
        <f>IF(裝櫃表格!Q43="","",裝櫃表格!Q43)</f>
        <v>9</v>
      </c>
      <c r="V20" s="326"/>
      <c r="W20" s="323" t="str">
        <f>IF(裝櫃表格!S43="","",裝櫃表格!S43)</f>
        <v>coils</v>
      </c>
      <c r="X20" s="324"/>
    </row>
    <row r="21" spans="1:24" ht="14" customHeight="1">
      <c r="D21" s="152"/>
      <c r="E21" s="328">
        <f>IF(裝櫃表格!A44="","",裝櫃表格!A44)</f>
        <v>0</v>
      </c>
      <c r="F21" s="328"/>
      <c r="G21" s="328"/>
      <c r="H21" s="328"/>
      <c r="I21" s="318" t="str">
        <f>IF(裝櫃表格!E44="","",裝櫃表格!E44)</f>
        <v>PPG112553</v>
      </c>
      <c r="J21" s="319"/>
      <c r="K21" s="319"/>
      <c r="L21" s="320"/>
      <c r="M21" s="316" t="str">
        <f>IF(裝櫃表格!I44="","",TEXT(裝櫃表格!I44,"#,##0.000"))</f>
        <v>1,008.555</v>
      </c>
      <c r="N21" s="317"/>
      <c r="O21" s="317"/>
      <c r="P21" s="154" t="str">
        <f t="shared" si="0"/>
        <v>MT</v>
      </c>
      <c r="Q21" s="316" t="str">
        <f>IF(裝櫃表格!M44="","",TEXT(裝櫃表格!M44,"#,##0.000"))</f>
        <v>1,009.556</v>
      </c>
      <c r="R21" s="317"/>
      <c r="S21" s="317"/>
      <c r="T21" s="154" t="str">
        <f t="shared" si="1"/>
        <v>MT</v>
      </c>
      <c r="U21" s="325">
        <f>IF(裝櫃表格!Q44="","",裝櫃表格!Q44)</f>
        <v>10</v>
      </c>
      <c r="V21" s="326"/>
      <c r="W21" s="323" t="str">
        <f>IF(裝櫃表格!S44="","",裝櫃表格!S44)</f>
        <v>coils</v>
      </c>
      <c r="X21" s="324"/>
    </row>
    <row r="22" spans="1:24" ht="14" customHeight="1">
      <c r="D22" s="152"/>
      <c r="E22" s="328">
        <f>IF(裝櫃表格!A45="","",裝櫃表格!A45)</f>
        <v>1010</v>
      </c>
      <c r="F22" s="328"/>
      <c r="G22" s="328"/>
      <c r="H22" s="328"/>
      <c r="I22" s="318" t="str">
        <f>IF(裝櫃表格!E45="","",裝櫃表格!E45)</f>
        <v/>
      </c>
      <c r="J22" s="319"/>
      <c r="K22" s="319"/>
      <c r="L22" s="320"/>
      <c r="M22" s="316" t="str">
        <f>IF(裝櫃表格!I45="","",TEXT(裝櫃表格!I45,"#,##0.000"))</f>
        <v>1,009.555</v>
      </c>
      <c r="N22" s="317"/>
      <c r="O22" s="317"/>
      <c r="P22" s="154" t="str">
        <f t="shared" si="0"/>
        <v>MT</v>
      </c>
      <c r="Q22" s="316" t="str">
        <f>IF(裝櫃表格!M45="","",TEXT(裝櫃表格!M45,"#,##0.000"))</f>
        <v>1,010.556</v>
      </c>
      <c r="R22" s="317"/>
      <c r="S22" s="317"/>
      <c r="T22" s="154" t="str">
        <f t="shared" si="1"/>
        <v>MT</v>
      </c>
      <c r="U22" s="325">
        <f>IF(裝櫃表格!Q45="","",裝櫃表格!Q45)</f>
        <v>11</v>
      </c>
      <c r="V22" s="326"/>
      <c r="W22" s="323" t="str">
        <f>IF(裝櫃表格!S45="","",裝櫃表格!S45)</f>
        <v>coils</v>
      </c>
      <c r="X22" s="324"/>
    </row>
    <row r="23" spans="1:24" ht="14" customHeight="1">
      <c r="D23" s="152"/>
      <c r="E23" s="328">
        <f>IF(裝櫃表格!A46="","",裝櫃表格!A46)</f>
        <v>1011</v>
      </c>
      <c r="F23" s="328"/>
      <c r="G23" s="328"/>
      <c r="H23" s="328"/>
      <c r="I23" s="318" t="str">
        <f>IF(裝櫃表格!E46="","",裝櫃表格!E46)</f>
        <v>PPG112555</v>
      </c>
      <c r="J23" s="319"/>
      <c r="K23" s="319"/>
      <c r="L23" s="320"/>
      <c r="M23" s="316" t="str">
        <f>IF(裝櫃表格!I46="","",TEXT(裝櫃表格!I46,"#,##0.000"))</f>
        <v>1,010.555</v>
      </c>
      <c r="N23" s="317"/>
      <c r="O23" s="317"/>
      <c r="P23" s="154" t="str">
        <f t="shared" si="0"/>
        <v>MT</v>
      </c>
      <c r="Q23" s="316" t="str">
        <f>IF(裝櫃表格!M46="","",TEXT(裝櫃表格!M46,"#,##0.000"))</f>
        <v>1,011.556</v>
      </c>
      <c r="R23" s="317"/>
      <c r="S23" s="317"/>
      <c r="T23" s="154" t="str">
        <f t="shared" si="1"/>
        <v>MT</v>
      </c>
      <c r="U23" s="325">
        <f>IF(裝櫃表格!Q46="","",裝櫃表格!Q46)</f>
        <v>12</v>
      </c>
      <c r="V23" s="326"/>
      <c r="W23" s="323" t="str">
        <f>IF(裝櫃表格!S46="","",裝櫃表格!S46)</f>
        <v>coils</v>
      </c>
      <c r="X23" s="324"/>
    </row>
    <row r="24" spans="1:24" ht="14" customHeight="1">
      <c r="D24" s="152"/>
      <c r="E24" s="328">
        <f>IF(裝櫃表格!A47="","",裝櫃表格!A47)</f>
        <v>1012</v>
      </c>
      <c r="F24" s="328"/>
      <c r="G24" s="328"/>
      <c r="H24" s="328"/>
      <c r="I24" s="318" t="str">
        <f>IF(裝櫃表格!E47="","",裝櫃表格!E47)</f>
        <v>PPG112556</v>
      </c>
      <c r="J24" s="319"/>
      <c r="K24" s="319"/>
      <c r="L24" s="320"/>
      <c r="M24" s="316" t="str">
        <f>IF(裝櫃表格!I47="","",TEXT(裝櫃表格!I47,"#,##0.000"))</f>
        <v>1,011.555</v>
      </c>
      <c r="N24" s="317"/>
      <c r="O24" s="317"/>
      <c r="P24" s="154" t="str">
        <f t="shared" si="0"/>
        <v>MT</v>
      </c>
      <c r="Q24" s="316" t="str">
        <f>IF(裝櫃表格!M47="","",TEXT(裝櫃表格!M47,"#,##0.000"))</f>
        <v>1,012.556</v>
      </c>
      <c r="R24" s="317"/>
      <c r="S24" s="317"/>
      <c r="T24" s="154" t="str">
        <f t="shared" si="1"/>
        <v>MT</v>
      </c>
      <c r="U24" s="325">
        <f>IF(裝櫃表格!Q47="","",裝櫃表格!Q47)</f>
        <v>13</v>
      </c>
      <c r="V24" s="326"/>
      <c r="W24" s="323" t="str">
        <f>IF(裝櫃表格!S47="","",裝櫃表格!S47)</f>
        <v>coils</v>
      </c>
      <c r="X24" s="324"/>
    </row>
    <row r="25" spans="1:24" ht="14" customHeight="1">
      <c r="D25" s="152"/>
      <c r="E25" s="328">
        <f>IF(裝櫃表格!A48="","",裝櫃表格!A48)</f>
        <v>1013</v>
      </c>
      <c r="F25" s="328"/>
      <c r="G25" s="328"/>
      <c r="H25" s="328"/>
      <c r="I25" s="318" t="str">
        <f>IF(裝櫃表格!E48="","",裝櫃表格!E48)</f>
        <v>PPG112557</v>
      </c>
      <c r="J25" s="319"/>
      <c r="K25" s="319"/>
      <c r="L25" s="320"/>
      <c r="M25" s="316" t="str">
        <f>IF(裝櫃表格!I48="","",TEXT(裝櫃表格!I48,"#,##0.000"))</f>
        <v>1,012.555</v>
      </c>
      <c r="N25" s="317"/>
      <c r="O25" s="317"/>
      <c r="P25" s="154" t="str">
        <f t="shared" si="0"/>
        <v>MT</v>
      </c>
      <c r="Q25" s="316" t="str">
        <f>IF(裝櫃表格!M48="","",TEXT(裝櫃表格!M48,"#,##0.000"))</f>
        <v>1,013.556</v>
      </c>
      <c r="R25" s="317"/>
      <c r="S25" s="317"/>
      <c r="T25" s="154" t="str">
        <f t="shared" si="1"/>
        <v>MT</v>
      </c>
      <c r="U25" s="325">
        <f>IF(裝櫃表格!Q48="","",裝櫃表格!Q48)</f>
        <v>14</v>
      </c>
      <c r="V25" s="326"/>
      <c r="W25" s="323" t="str">
        <f>IF(裝櫃表格!S48="","",裝櫃表格!S48)</f>
        <v>coils</v>
      </c>
      <c r="X25" s="324"/>
    </row>
    <row r="26" spans="1:24" ht="14" customHeight="1">
      <c r="D26" s="152"/>
      <c r="E26" s="328">
        <f>IF(裝櫃表格!A49="","",裝櫃表格!A49)</f>
        <v>1014</v>
      </c>
      <c r="F26" s="328"/>
      <c r="G26" s="328"/>
      <c r="H26" s="328"/>
      <c r="I26" s="318" t="str">
        <f>IF(裝櫃表格!E49="","",裝櫃表格!E49)</f>
        <v>PPG112558</v>
      </c>
      <c r="J26" s="319"/>
      <c r="K26" s="319"/>
      <c r="L26" s="320"/>
      <c r="M26" s="316" t="str">
        <f>IF(裝櫃表格!I49="","",TEXT(裝櫃表格!I49,"#,##0.000"))</f>
        <v>1,013.555</v>
      </c>
      <c r="N26" s="317"/>
      <c r="O26" s="317"/>
      <c r="P26" s="154" t="str">
        <f t="shared" si="0"/>
        <v>MT</v>
      </c>
      <c r="Q26" s="316" t="str">
        <f>IF(裝櫃表格!M49="","",TEXT(裝櫃表格!M49,"#,##0.000"))</f>
        <v>1,014.556</v>
      </c>
      <c r="R26" s="317"/>
      <c r="S26" s="317"/>
      <c r="T26" s="154" t="str">
        <f t="shared" si="1"/>
        <v>MT</v>
      </c>
      <c r="U26" s="325">
        <f>IF(裝櫃表格!Q49="","",裝櫃表格!Q49)</f>
        <v>15</v>
      </c>
      <c r="V26" s="326"/>
      <c r="W26" s="323" t="str">
        <f>IF(裝櫃表格!S49="","",裝櫃表格!S49)</f>
        <v>coils</v>
      </c>
      <c r="X26" s="324"/>
    </row>
    <row r="27" spans="1:24" ht="14" customHeight="1">
      <c r="D27" s="152"/>
      <c r="E27" s="328">
        <f>IF(裝櫃表格!A50="","",裝櫃表格!A50)</f>
        <v>1015</v>
      </c>
      <c r="F27" s="328"/>
      <c r="G27" s="328"/>
      <c r="H27" s="328"/>
      <c r="I27" s="318" t="str">
        <f>IF(裝櫃表格!E50="","",裝櫃表格!E50)</f>
        <v>PPG112559</v>
      </c>
      <c r="J27" s="319"/>
      <c r="K27" s="319"/>
      <c r="L27" s="320"/>
      <c r="M27" s="316" t="str">
        <f>IF(裝櫃表格!I50="","",TEXT(裝櫃表格!I50,"#,##0.000"))</f>
        <v>1,014.555</v>
      </c>
      <c r="N27" s="317"/>
      <c r="O27" s="317"/>
      <c r="P27" s="154" t="str">
        <f t="shared" si="0"/>
        <v>MT</v>
      </c>
      <c r="Q27" s="316" t="str">
        <f>IF(裝櫃表格!M50="","",TEXT(裝櫃表格!M50,"#,##0.000"))</f>
        <v>1,015.556</v>
      </c>
      <c r="R27" s="317"/>
      <c r="S27" s="317"/>
      <c r="T27" s="154" t="str">
        <f t="shared" si="1"/>
        <v>MT</v>
      </c>
      <c r="U27" s="325">
        <f>IF(裝櫃表格!Q50="","",裝櫃表格!Q50)</f>
        <v>16</v>
      </c>
      <c r="V27" s="326"/>
      <c r="W27" s="323" t="str">
        <f>IF(裝櫃表格!S50="","",裝櫃表格!S50)</f>
        <v>coils</v>
      </c>
      <c r="X27" s="324"/>
    </row>
    <row r="28" spans="1:24" ht="14" customHeight="1">
      <c r="D28" s="152"/>
      <c r="E28" s="342" t="s">
        <v>66</v>
      </c>
      <c r="F28" s="343"/>
      <c r="G28" s="343"/>
      <c r="H28" s="343"/>
      <c r="I28" s="343"/>
      <c r="J28" s="343"/>
      <c r="K28" s="343"/>
      <c r="L28" s="344"/>
      <c r="M28" s="316" t="str">
        <f>IF(裝櫃表格!I51="","",TEXT(裝櫃表格!I51,"#,##0.000"))</f>
        <v>15,113.325</v>
      </c>
      <c r="N28" s="317"/>
      <c r="O28" s="317"/>
      <c r="P28" s="154" t="str">
        <f t="shared" si="0"/>
        <v>MT</v>
      </c>
      <c r="Q28" s="316" t="str">
        <f>IF(裝櫃表格!M51="","",TEXT(裝櫃表格!M51,"#,##0.000"))</f>
        <v>15,128.340</v>
      </c>
      <c r="R28" s="317"/>
      <c r="S28" s="317"/>
      <c r="T28" s="154" t="str">
        <f t="shared" si="1"/>
        <v>MT</v>
      </c>
      <c r="U28" s="321">
        <f>IF(裝櫃表格!Q51="","",裝櫃表格!Q51)</f>
        <v>135</v>
      </c>
      <c r="V28" s="322"/>
      <c r="W28" s="323" t="str">
        <f>IF(裝櫃表格!S51="","",裝櫃表格!S51)</f>
        <v>coils</v>
      </c>
      <c r="X28" s="324"/>
    </row>
    <row r="29" spans="1:24" ht="14" customHeight="1">
      <c r="A29" s="327"/>
      <c r="B29" s="327"/>
      <c r="C29" s="327"/>
      <c r="D29" s="327"/>
      <c r="E29" s="327"/>
      <c r="F29" s="327"/>
      <c r="G29" s="327"/>
      <c r="H29" s="327"/>
      <c r="I29" s="327"/>
      <c r="J29" s="327"/>
      <c r="K29" s="327"/>
      <c r="L29" s="327"/>
      <c r="M29" s="327"/>
      <c r="N29" s="327"/>
      <c r="O29" s="327"/>
      <c r="P29" s="327"/>
      <c r="Q29" s="327"/>
      <c r="R29" s="327"/>
      <c r="S29" s="327"/>
      <c r="T29" s="327"/>
      <c r="U29" s="327"/>
      <c r="V29" s="327"/>
      <c r="W29" s="327"/>
      <c r="X29" s="327"/>
    </row>
    <row r="30" spans="1:24" ht="17" customHeight="1">
      <c r="A30" s="329" t="s">
        <v>73</v>
      </c>
      <c r="B30" s="329"/>
      <c r="C30" s="329"/>
      <c r="D30" s="329"/>
      <c r="E30" s="313" t="str">
        <f>裝櫃表格!AB9</f>
        <v>Per M.V. 1234565 from Kaohsiung Taiwan Port to Ravenna port, Italy</v>
      </c>
      <c r="F30" s="313"/>
      <c r="G30" s="313"/>
      <c r="H30" s="313"/>
      <c r="I30" s="313"/>
      <c r="J30" s="313"/>
      <c r="K30" s="313"/>
      <c r="L30" s="313"/>
      <c r="M30" s="313"/>
      <c r="N30" s="313"/>
      <c r="O30" s="313"/>
      <c r="P30" s="313"/>
      <c r="Q30" s="313"/>
      <c r="R30" s="313"/>
      <c r="S30" s="313"/>
      <c r="T30" s="313"/>
      <c r="U30" s="313"/>
      <c r="V30" s="313"/>
      <c r="W30" s="313"/>
      <c r="X30" s="313"/>
    </row>
    <row r="31" spans="1:24" ht="14" customHeight="1"/>
    <row r="32" spans="1:24" ht="14" customHeight="1">
      <c r="A32" s="329" t="s">
        <v>27</v>
      </c>
      <c r="B32" s="329"/>
      <c r="C32" s="329"/>
      <c r="D32" s="329"/>
      <c r="E32" s="327" t="str">
        <f>裝櫃表格!I10</f>
        <v>Yieh United Steel Corporation</v>
      </c>
      <c r="F32" s="327"/>
      <c r="G32" s="327"/>
      <c r="H32" s="327"/>
      <c r="I32" s="327"/>
      <c r="J32" s="327"/>
      <c r="K32" s="327"/>
      <c r="L32" s="327"/>
      <c r="M32" s="327"/>
      <c r="N32" s="327"/>
      <c r="O32" s="327"/>
      <c r="P32" s="327"/>
      <c r="Q32" s="327"/>
      <c r="R32" s="327"/>
      <c r="S32" s="327"/>
      <c r="T32" s="327"/>
      <c r="U32" s="327"/>
      <c r="V32" s="327"/>
      <c r="W32" s="327"/>
      <c r="X32" s="327"/>
    </row>
    <row r="33" spans="1:24" ht="14" customHeight="1"/>
    <row r="34" spans="1:24" ht="14" customHeight="1">
      <c r="A34" s="329" t="s">
        <v>29</v>
      </c>
      <c r="B34" s="329"/>
      <c r="C34" s="329"/>
      <c r="D34" s="329"/>
      <c r="E34" s="327" t="str">
        <f>裝櫃表格!I12</f>
        <v>C.P.C. Inox Spa</v>
      </c>
      <c r="F34" s="327"/>
      <c r="G34" s="327"/>
      <c r="H34" s="327"/>
      <c r="I34" s="327"/>
      <c r="J34" s="327"/>
      <c r="K34" s="327"/>
      <c r="L34" s="327"/>
      <c r="M34" s="327"/>
      <c r="N34" s="327"/>
      <c r="O34" s="327"/>
      <c r="P34" s="327"/>
      <c r="Q34" s="327"/>
      <c r="R34" s="327"/>
      <c r="S34" s="327"/>
      <c r="T34" s="327"/>
      <c r="U34" s="327"/>
      <c r="V34" s="327"/>
      <c r="W34" s="327"/>
      <c r="X34" s="327"/>
    </row>
    <row r="35" spans="1:24" ht="14" customHeight="1"/>
    <row r="36" spans="1:24" ht="46" customHeight="1">
      <c r="A36" s="329" t="s">
        <v>74</v>
      </c>
      <c r="B36" s="329"/>
      <c r="C36" s="329"/>
      <c r="D36" s="329"/>
      <c r="E36" s="313" t="str">
        <f>裝櫃表格!E20</f>
        <v>Each vertical coil wrapped in a metal envelope with 4 protection steel rings along upper-outer/-eye rims, then secured with 3 cycle and 2 eye flat metal strapping bands on a wooden pallet.</v>
      </c>
      <c r="F36" s="313"/>
      <c r="G36" s="313"/>
      <c r="H36" s="313"/>
      <c r="I36" s="313"/>
      <c r="J36" s="313"/>
      <c r="K36" s="313"/>
      <c r="L36" s="313"/>
      <c r="M36" s="313"/>
      <c r="N36" s="313"/>
      <c r="O36" s="313"/>
      <c r="P36" s="313"/>
      <c r="Q36" s="313"/>
      <c r="R36" s="313"/>
      <c r="S36" s="313"/>
      <c r="T36" s="313"/>
      <c r="U36" s="313"/>
      <c r="V36" s="313"/>
      <c r="W36" s="313"/>
      <c r="X36" s="313"/>
    </row>
    <row r="37" spans="1:24" ht="14" customHeight="1"/>
    <row r="38" spans="1:24" ht="33" customHeight="1">
      <c r="A38" s="329" t="s">
        <v>75</v>
      </c>
      <c r="B38" s="329"/>
      <c r="C38" s="329"/>
      <c r="D38" s="329"/>
      <c r="E38" s="313" t="str">
        <f>裝櫃表格!E18</f>
        <v>Coils revealed to be labelled with the wording “--------, C.P.C. Inox Spa, Ravenna, Italy, CPC No., No., Made in Taiwan, etc.” at one side and on core package respectively.</v>
      </c>
      <c r="F38" s="313"/>
      <c r="G38" s="313"/>
      <c r="H38" s="313"/>
      <c r="I38" s="313"/>
      <c r="J38" s="313"/>
      <c r="K38" s="313"/>
      <c r="L38" s="313"/>
      <c r="M38" s="313"/>
      <c r="N38" s="313"/>
      <c r="O38" s="313"/>
      <c r="P38" s="313"/>
      <c r="Q38" s="313"/>
      <c r="R38" s="313"/>
      <c r="S38" s="313"/>
      <c r="T38" s="313"/>
      <c r="U38" s="313"/>
      <c r="V38" s="313"/>
      <c r="W38" s="313"/>
      <c r="X38" s="313"/>
    </row>
    <row r="39" spans="1:24" ht="14" customHeight="1">
      <c r="A39" s="327"/>
      <c r="B39" s="327"/>
      <c r="C39" s="327"/>
      <c r="D39" s="327"/>
      <c r="E39" s="327"/>
      <c r="F39" s="327"/>
      <c r="G39" s="327"/>
      <c r="H39" s="327"/>
      <c r="I39" s="327"/>
      <c r="J39" s="327"/>
      <c r="K39" s="327"/>
      <c r="L39" s="327"/>
      <c r="M39" s="327"/>
      <c r="N39" s="327"/>
      <c r="O39" s="327"/>
      <c r="P39" s="327"/>
      <c r="Q39" s="327"/>
      <c r="R39" s="327"/>
      <c r="S39" s="327"/>
      <c r="T39" s="327"/>
      <c r="U39" s="327"/>
      <c r="V39" s="327"/>
      <c r="W39" s="327"/>
      <c r="X39" s="327"/>
    </row>
    <row r="40" spans="1:24" ht="14" customHeight="1">
      <c r="A40" s="329" t="s">
        <v>89</v>
      </c>
      <c r="B40" s="329"/>
      <c r="C40" s="329"/>
      <c r="D40" s="329"/>
      <c r="E40" s="155" t="str">
        <f>裝櫃表格!A26</f>
        <v>Stuffing commenced</v>
      </c>
      <c r="F40" s="155"/>
      <c r="G40" s="155"/>
      <c r="H40" s="155"/>
      <c r="I40" s="155"/>
      <c r="K40" s="169" t="s">
        <v>10</v>
      </c>
      <c r="L40" s="160" t="str">
        <f>裝櫃表格!J26&amp;" "&amp;裝櫃表格!M26&amp;" "&amp;TEXT(裝櫃表格!O26,"mmmm dd, yyyy")</f>
        <v>1400 hrs. April 01, 2024</v>
      </c>
      <c r="M40" s="160"/>
      <c r="N40" s="160"/>
      <c r="O40" s="160"/>
      <c r="P40" s="160"/>
      <c r="Q40" s="160"/>
      <c r="R40" s="160"/>
      <c r="S40" s="160"/>
      <c r="T40" s="160"/>
      <c r="U40" s="160"/>
      <c r="V40" s="160"/>
      <c r="W40" s="160"/>
      <c r="X40" s="160"/>
    </row>
    <row r="41" spans="1:24" ht="14" customHeight="1">
      <c r="A41" s="329"/>
      <c r="B41" s="329"/>
      <c r="C41" s="329"/>
      <c r="D41" s="329"/>
      <c r="E41" s="155" t="str">
        <f>裝櫃表格!A27</f>
        <v>Stuffing completed</v>
      </c>
      <c r="F41" s="155"/>
      <c r="G41" s="155"/>
      <c r="H41" s="155"/>
      <c r="I41" s="155"/>
      <c r="K41" s="169" t="s">
        <v>10</v>
      </c>
      <c r="L41" s="160" t="str">
        <f>裝櫃表格!J27&amp;" "&amp;裝櫃表格!M27&amp;" "&amp;TEXT(裝櫃表格!O27,"mmmm dd, yyyy")</f>
        <v xml:space="preserve"> hrs. April 03, 2024</v>
      </c>
      <c r="M41" s="160"/>
      <c r="N41" s="160"/>
      <c r="O41" s="160"/>
      <c r="P41" s="160"/>
      <c r="Q41" s="160"/>
      <c r="R41" s="160"/>
      <c r="S41" s="160"/>
      <c r="T41" s="160"/>
      <c r="U41" s="160"/>
      <c r="V41" s="160"/>
      <c r="W41" s="160"/>
      <c r="X41" s="160"/>
    </row>
    <row r="42" spans="1:24" ht="14" customHeight="1">
      <c r="A42" s="329"/>
      <c r="B42" s="329"/>
      <c r="C42" s="329"/>
      <c r="D42" s="329"/>
      <c r="E42" s="155" t="str">
        <f>裝櫃表格!A28</f>
        <v>Finished shoring</v>
      </c>
      <c r="F42" s="155"/>
      <c r="G42" s="155"/>
      <c r="H42" s="155"/>
      <c r="I42" s="155"/>
      <c r="K42" s="169" t="s">
        <v>10</v>
      </c>
      <c r="L42" s="160" t="str">
        <f>裝櫃表格!J28&amp;" "&amp;裝櫃表格!M28&amp;" "&amp;TEXT(裝櫃表格!O28,"mmmm dd, yyyy")</f>
        <v>1630 hrs. April 03, 2024</v>
      </c>
      <c r="M42" s="160"/>
      <c r="N42" s="160"/>
      <c r="O42" s="160"/>
      <c r="P42" s="160"/>
      <c r="Q42" s="160"/>
      <c r="R42" s="160"/>
      <c r="S42" s="160"/>
      <c r="T42" s="160"/>
      <c r="U42" s="160"/>
      <c r="V42" s="160"/>
      <c r="W42" s="160"/>
      <c r="X42" s="160"/>
    </row>
    <row r="43" spans="1:24" ht="14" customHeight="1">
      <c r="A43" s="329"/>
      <c r="B43" s="329"/>
      <c r="C43" s="329"/>
      <c r="D43" s="329"/>
      <c r="E43" s="155" t="s">
        <v>23</v>
      </c>
      <c r="F43" s="155"/>
      <c r="G43" s="155"/>
      <c r="H43" s="155"/>
      <c r="I43" s="155"/>
      <c r="K43" s="169" t="s">
        <v>10</v>
      </c>
      <c r="L43" s="151" t="str">
        <f>裝櫃表格!Q29</f>
        <v>Cloudy</v>
      </c>
    </row>
    <row r="44" spans="1:24" ht="14" customHeight="1"/>
    <row r="45" spans="1:24" ht="45" customHeight="1">
      <c r="A45" s="329" t="s">
        <v>90</v>
      </c>
      <c r="B45" s="329"/>
      <c r="C45" s="329"/>
      <c r="D45" s="329"/>
      <c r="E45" s="313" t="str">
        <f>裝櫃表格!C61</f>
        <v>The cargo in coils in sound packing condition, identified with the correct marks as mentioned above, was stuffed by means of the single-boom-lifts from the storage yard into 1x20' containers in rows with one tier high.</v>
      </c>
      <c r="F45" s="313"/>
      <c r="G45" s="313"/>
      <c r="H45" s="313"/>
      <c r="I45" s="313"/>
      <c r="J45" s="313"/>
      <c r="K45" s="313"/>
      <c r="L45" s="313"/>
      <c r="M45" s="313"/>
      <c r="N45" s="313"/>
      <c r="O45" s="313"/>
      <c r="P45" s="313"/>
      <c r="Q45" s="313"/>
      <c r="R45" s="313"/>
      <c r="S45" s="313"/>
      <c r="T45" s="313"/>
      <c r="U45" s="313"/>
      <c r="V45" s="313"/>
      <c r="W45" s="313"/>
      <c r="X45" s="313"/>
    </row>
    <row r="46" spans="1:24" ht="44.5" customHeight="1">
      <c r="A46" s="329"/>
      <c r="B46" s="329"/>
      <c r="C46" s="329"/>
      <c r="D46" s="329"/>
      <c r="E46" s="313" t="str">
        <f>裝櫃表格!C62</f>
        <v>During the entire course of stuffing, steel coils where accessible were visually inspected on the exterior, and found to be appeared in general good order, except below list.</v>
      </c>
      <c r="F46" s="313"/>
      <c r="G46" s="313"/>
      <c r="H46" s="313"/>
      <c r="I46" s="313"/>
      <c r="J46" s="313"/>
      <c r="K46" s="313"/>
      <c r="L46" s="313"/>
      <c r="M46" s="313"/>
      <c r="N46" s="313"/>
      <c r="O46" s="313"/>
      <c r="P46" s="313"/>
      <c r="Q46" s="313"/>
      <c r="R46" s="313"/>
      <c r="S46" s="313"/>
      <c r="T46" s="313"/>
      <c r="U46" s="313"/>
      <c r="V46" s="313"/>
      <c r="W46" s="313"/>
      <c r="X46" s="313"/>
    </row>
    <row r="47" spans="1:24" ht="14" customHeight="1"/>
    <row r="48" spans="1:24" ht="14" customHeight="1">
      <c r="A48" s="156"/>
      <c r="B48" s="156"/>
      <c r="C48" s="156"/>
      <c r="D48" s="157"/>
      <c r="E48" s="345" t="str">
        <f>IF(damage表格!A8="","","Coil No.")</f>
        <v>Coil No.</v>
      </c>
      <c r="F48" s="346"/>
      <c r="G48" s="346"/>
      <c r="H48" s="347"/>
      <c r="I48" s="348" t="str">
        <f>IF(damage表格!A8="","","Findings")</f>
        <v>Findings</v>
      </c>
      <c r="J48" s="349"/>
      <c r="K48" s="349"/>
      <c r="L48" s="349"/>
      <c r="M48" s="349"/>
      <c r="N48" s="349"/>
      <c r="O48" s="349"/>
      <c r="P48" s="349"/>
      <c r="Q48" s="349"/>
      <c r="R48" s="349"/>
      <c r="S48" s="349"/>
      <c r="T48" s="350"/>
      <c r="U48" s="348" t="str">
        <f>IF(damage表格!A8="","","Photo No.")</f>
        <v>Photo No.</v>
      </c>
      <c r="V48" s="349"/>
      <c r="W48" s="349"/>
      <c r="X48" s="350"/>
    </row>
    <row r="49" spans="1:24" ht="14" customHeight="1">
      <c r="A49" s="156"/>
      <c r="B49" s="156"/>
      <c r="C49" s="156"/>
      <c r="D49" s="157"/>
      <c r="E49" s="345">
        <f>IF(damage表格!A8="","",damage表格!A8)</f>
        <v>4455599</v>
      </c>
      <c r="F49" s="346"/>
      <c r="G49" s="346"/>
      <c r="H49" s="347"/>
      <c r="I49" s="330" t="str">
        <f>IF(damage表格!E8="","",damage表格!E8)</f>
        <v>Partly broken on outer packing moisture-resistance sheet.</v>
      </c>
      <c r="J49" s="331"/>
      <c r="K49" s="331"/>
      <c r="L49" s="331"/>
      <c r="M49" s="331"/>
      <c r="N49" s="331"/>
      <c r="O49" s="331"/>
      <c r="P49" s="331"/>
      <c r="Q49" s="331"/>
      <c r="R49" s="331"/>
      <c r="S49" s="331"/>
      <c r="T49" s="332"/>
      <c r="U49" s="345" t="str">
        <f>IF(damage表格!R8="","",damage表格!R8)</f>
        <v/>
      </c>
      <c r="V49" s="346"/>
      <c r="W49" s="346"/>
      <c r="X49" s="347"/>
    </row>
    <row r="50" spans="1:24" ht="14" customHeight="1">
      <c r="A50" s="156"/>
      <c r="B50" s="156"/>
      <c r="C50" s="156"/>
      <c r="D50" s="157"/>
      <c r="E50" s="345">
        <f>IF(damage表格!A9="","",damage表格!A9)</f>
        <v>14414</v>
      </c>
      <c r="F50" s="346"/>
      <c r="G50" s="346"/>
      <c r="H50" s="347"/>
      <c r="I50" s="330" t="str">
        <f>IF(damage表格!E9="","",damage表格!E9)</f>
        <v>Partly broken, bent, wrinkled at one side packing moisture-resistance sheet. Or at one side edge of inner windings.</v>
      </c>
      <c r="J50" s="331"/>
      <c r="K50" s="331"/>
      <c r="L50" s="331"/>
      <c r="M50" s="331"/>
      <c r="N50" s="331"/>
      <c r="O50" s="331"/>
      <c r="P50" s="331"/>
      <c r="Q50" s="331"/>
      <c r="R50" s="331"/>
      <c r="S50" s="331"/>
      <c r="T50" s="332"/>
      <c r="U50" s="345" t="str">
        <f>IF(damage表格!R9="","",damage表格!R9)</f>
        <v/>
      </c>
      <c r="V50" s="346"/>
      <c r="W50" s="346"/>
      <c r="X50" s="347"/>
    </row>
    <row r="51" spans="1:24" ht="14" customHeight="1">
      <c r="A51" s="156"/>
      <c r="B51" s="156"/>
      <c r="C51" s="156"/>
      <c r="D51" s="157"/>
      <c r="E51" s="345" t="str">
        <f>IF(damage表格!A10="","",damage表格!A10)</f>
        <v/>
      </c>
      <c r="F51" s="346"/>
      <c r="G51" s="346"/>
      <c r="H51" s="347"/>
      <c r="I51" s="330" t="str">
        <f>IF(damage表格!E10="","",damage表格!E10)</f>
        <v/>
      </c>
      <c r="J51" s="331"/>
      <c r="K51" s="331"/>
      <c r="L51" s="331"/>
      <c r="M51" s="331"/>
      <c r="N51" s="331"/>
      <c r="O51" s="331"/>
      <c r="P51" s="331"/>
      <c r="Q51" s="331"/>
      <c r="R51" s="331"/>
      <c r="S51" s="331"/>
      <c r="T51" s="332"/>
      <c r="U51" s="345" t="str">
        <f>IF(damage表格!R10="","",damage表格!R10)</f>
        <v/>
      </c>
      <c r="V51" s="346"/>
      <c r="W51" s="346"/>
      <c r="X51" s="347"/>
    </row>
    <row r="52" spans="1:24" ht="14" customHeight="1">
      <c r="A52" s="156"/>
      <c r="B52" s="156"/>
      <c r="C52" s="156"/>
      <c r="D52" s="157"/>
      <c r="E52" s="345" t="str">
        <f>IF(damage表格!A11="","",damage表格!A11)</f>
        <v/>
      </c>
      <c r="F52" s="346"/>
      <c r="G52" s="346"/>
      <c r="H52" s="347"/>
      <c r="I52" s="330" t="str">
        <f>IF(damage表格!E11="","",damage表格!E11)</f>
        <v/>
      </c>
      <c r="J52" s="331"/>
      <c r="K52" s="331"/>
      <c r="L52" s="331"/>
      <c r="M52" s="331"/>
      <c r="N52" s="331"/>
      <c r="O52" s="331"/>
      <c r="P52" s="331"/>
      <c r="Q52" s="331"/>
      <c r="R52" s="331"/>
      <c r="S52" s="331"/>
      <c r="T52" s="332"/>
      <c r="U52" s="345" t="str">
        <f>IF(damage表格!R11="","",damage表格!R11)</f>
        <v/>
      </c>
      <c r="V52" s="346"/>
      <c r="W52" s="346"/>
      <c r="X52" s="347"/>
    </row>
    <row r="53" spans="1:24" ht="14" customHeight="1">
      <c r="A53" s="156"/>
      <c r="B53" s="156"/>
      <c r="C53" s="156"/>
      <c r="D53" s="157"/>
      <c r="E53" s="345" t="str">
        <f>IF(damage表格!A12="","",damage表格!A12)</f>
        <v/>
      </c>
      <c r="F53" s="346"/>
      <c r="G53" s="346"/>
      <c r="H53" s="347"/>
      <c r="I53" s="330" t="str">
        <f>IF(damage表格!E12="","",damage表格!E12)</f>
        <v/>
      </c>
      <c r="J53" s="331"/>
      <c r="K53" s="331"/>
      <c r="L53" s="331"/>
      <c r="M53" s="331"/>
      <c r="N53" s="331"/>
      <c r="O53" s="331"/>
      <c r="P53" s="331"/>
      <c r="Q53" s="331"/>
      <c r="R53" s="331"/>
      <c r="S53" s="331"/>
      <c r="T53" s="332"/>
      <c r="U53" s="345" t="str">
        <f>IF(damage表格!R12="","",damage表格!R12)</f>
        <v/>
      </c>
      <c r="V53" s="346"/>
      <c r="W53" s="346"/>
      <c r="X53" s="347"/>
    </row>
    <row r="54" spans="1:24" ht="14" customHeight="1"/>
    <row r="55" spans="1:24" ht="14" customHeight="1">
      <c r="A55" s="329" t="s">
        <v>19</v>
      </c>
      <c r="B55" s="329"/>
      <c r="C55" s="329"/>
      <c r="D55" s="329"/>
      <c r="E55" s="327" t="str">
        <f>櫃號表格!E5</f>
        <v xml:space="preserve">135 coils were stuffed into 1x20' containers as the following distributions: </v>
      </c>
      <c r="F55" s="327"/>
      <c r="G55" s="327"/>
      <c r="H55" s="327"/>
      <c r="I55" s="327"/>
      <c r="J55" s="327"/>
      <c r="K55" s="327"/>
      <c r="L55" s="327"/>
      <c r="M55" s="327"/>
      <c r="N55" s="327"/>
      <c r="O55" s="327"/>
      <c r="P55" s="327"/>
      <c r="Q55" s="327"/>
      <c r="R55" s="327"/>
      <c r="S55" s="327"/>
      <c r="T55" s="327"/>
      <c r="U55" s="327"/>
      <c r="V55" s="327"/>
      <c r="W55" s="327"/>
      <c r="X55" s="327"/>
    </row>
    <row r="56" spans="1:24" ht="14" customHeight="1"/>
    <row r="57" spans="1:24" ht="14" customHeight="1">
      <c r="A57" s="156"/>
      <c r="B57" s="156"/>
      <c r="C57" s="156"/>
      <c r="D57" s="156"/>
      <c r="E57" s="227" t="s">
        <v>269</v>
      </c>
      <c r="F57" s="227"/>
      <c r="G57" s="227"/>
      <c r="H57" s="227"/>
      <c r="I57" s="153"/>
      <c r="J57" s="228" t="s">
        <v>270</v>
      </c>
      <c r="K57" s="228"/>
      <c r="L57" s="228"/>
      <c r="M57" s="228"/>
      <c r="N57" s="228"/>
      <c r="O57" s="228"/>
      <c r="P57" s="158"/>
      <c r="Q57" s="228" t="s">
        <v>178</v>
      </c>
      <c r="R57" s="228"/>
      <c r="S57" s="228"/>
      <c r="T57" s="228"/>
      <c r="U57" s="228"/>
    </row>
    <row r="58" spans="1:24" ht="14" customHeight="1">
      <c r="A58" s="156"/>
      <c r="B58" s="156"/>
      <c r="C58" s="156"/>
      <c r="D58" s="156"/>
      <c r="E58" s="159" t="str">
        <f>IF(櫃號表格!A7="","",櫃號表格!A7)</f>
        <v>TRHU1806303</v>
      </c>
      <c r="F58" s="159"/>
      <c r="G58" s="159"/>
      <c r="H58" s="159"/>
      <c r="I58" s="159"/>
      <c r="J58" s="225" t="str">
        <f>IF(櫃號表格!F7="","",櫃號表格!F7)</f>
        <v>3 coil (No. 1, 8, 6)</v>
      </c>
      <c r="K58" s="225"/>
      <c r="L58" s="225"/>
      <c r="M58" s="225"/>
      <c r="N58" s="225"/>
      <c r="O58" s="225"/>
      <c r="P58" s="159"/>
      <c r="Q58" s="226" t="str">
        <f>IF(櫃號表格!M7="","",櫃號表格!M7)</f>
        <v>CML4151091</v>
      </c>
      <c r="R58" s="226"/>
      <c r="S58" s="226"/>
      <c r="T58" s="226"/>
      <c r="U58" s="226"/>
    </row>
    <row r="59" spans="1:24" ht="14" customHeight="1">
      <c r="A59" s="156"/>
      <c r="B59" s="156"/>
      <c r="C59" s="156"/>
      <c r="D59" s="156"/>
      <c r="E59" s="159" t="str">
        <f>IF(櫃號表格!A8="","",櫃號表格!A8)</f>
        <v/>
      </c>
      <c r="F59" s="159"/>
      <c r="G59" s="159"/>
      <c r="H59" s="159"/>
      <c r="I59" s="159"/>
      <c r="J59" s="225" t="str">
        <f>IF(櫃號表格!F8="","",櫃號表格!F8)</f>
        <v/>
      </c>
      <c r="K59" s="225"/>
      <c r="L59" s="225"/>
      <c r="M59" s="225"/>
      <c r="N59" s="225"/>
      <c r="O59" s="225"/>
      <c r="P59" s="159"/>
      <c r="Q59" s="226" t="str">
        <f>IF(櫃號表格!M8="","",櫃號表格!M8)</f>
        <v/>
      </c>
      <c r="R59" s="226"/>
      <c r="S59" s="226"/>
      <c r="T59" s="226"/>
      <c r="U59" s="226"/>
    </row>
    <row r="60" spans="1:24" ht="14" customHeight="1">
      <c r="A60" s="156"/>
      <c r="B60" s="156"/>
      <c r="C60" s="156"/>
      <c r="D60" s="156"/>
      <c r="E60" s="159" t="str">
        <f>IF(櫃號表格!A9="","",櫃號表格!A9)</f>
        <v/>
      </c>
      <c r="F60" s="159"/>
      <c r="G60" s="159"/>
      <c r="H60" s="159"/>
      <c r="I60" s="159"/>
      <c r="J60" s="225" t="str">
        <f>IF(櫃號表格!F9="","",櫃號表格!F9)</f>
        <v/>
      </c>
      <c r="K60" s="225"/>
      <c r="L60" s="225"/>
      <c r="M60" s="225"/>
      <c r="N60" s="225"/>
      <c r="O60" s="225"/>
      <c r="P60" s="159"/>
      <c r="Q60" s="226" t="str">
        <f>IF(櫃號表格!M9="","",櫃號表格!M9)</f>
        <v/>
      </c>
      <c r="R60" s="226"/>
      <c r="S60" s="226"/>
      <c r="T60" s="226"/>
      <c r="U60" s="226"/>
    </row>
    <row r="61" spans="1:24" ht="14" customHeight="1">
      <c r="A61" s="156"/>
      <c r="B61" s="156"/>
      <c r="C61" s="156"/>
      <c r="D61" s="156"/>
      <c r="E61" s="159" t="str">
        <f>IF(櫃號表格!A10="","",櫃號表格!A10)</f>
        <v/>
      </c>
      <c r="F61" s="159"/>
      <c r="G61" s="159"/>
      <c r="H61" s="159"/>
      <c r="I61" s="159"/>
      <c r="J61" s="225" t="str">
        <f>IF(櫃號表格!F10="","",櫃號表格!F10)</f>
        <v/>
      </c>
      <c r="K61" s="225"/>
      <c r="L61" s="225"/>
      <c r="M61" s="225"/>
      <c r="N61" s="225"/>
      <c r="O61" s="225"/>
      <c r="P61" s="159"/>
      <c r="Q61" s="226" t="str">
        <f>IF(櫃號表格!M10="","",櫃號表格!M10)</f>
        <v/>
      </c>
      <c r="R61" s="226"/>
      <c r="S61" s="226"/>
      <c r="T61" s="226"/>
      <c r="U61" s="226"/>
    </row>
    <row r="62" spans="1:24" ht="14" customHeight="1">
      <c r="A62" s="156"/>
      <c r="B62" s="156"/>
      <c r="C62" s="156"/>
      <c r="D62" s="156"/>
      <c r="E62" s="159" t="str">
        <f>IF(櫃號表格!A11="","",櫃號表格!A11)</f>
        <v/>
      </c>
      <c r="F62" s="159"/>
      <c r="G62" s="159"/>
      <c r="H62" s="159"/>
      <c r="I62" s="159"/>
      <c r="J62" s="225" t="str">
        <f>IF(櫃號表格!F11="","",櫃號表格!F11)</f>
        <v/>
      </c>
      <c r="K62" s="225"/>
      <c r="L62" s="225"/>
      <c r="M62" s="225"/>
      <c r="N62" s="225"/>
      <c r="O62" s="225"/>
      <c r="P62" s="159"/>
      <c r="Q62" s="226" t="str">
        <f>IF(櫃號表格!M11="","",櫃號表格!M11)</f>
        <v/>
      </c>
      <c r="R62" s="226"/>
      <c r="S62" s="226"/>
      <c r="T62" s="226"/>
      <c r="U62" s="226"/>
    </row>
    <row r="63" spans="1:24" ht="14" customHeight="1">
      <c r="A63" s="156"/>
      <c r="B63" s="156"/>
      <c r="C63" s="156"/>
      <c r="D63" s="156"/>
      <c r="E63" s="159" t="str">
        <f>IF(櫃號表格!A12="","",櫃號表格!A12)</f>
        <v/>
      </c>
      <c r="F63" s="159"/>
      <c r="G63" s="159"/>
      <c r="H63" s="159"/>
      <c r="I63" s="159"/>
      <c r="J63" s="225" t="str">
        <f>IF(櫃號表格!F12="","",櫃號表格!F12)</f>
        <v/>
      </c>
      <c r="K63" s="225"/>
      <c r="L63" s="225"/>
      <c r="M63" s="225"/>
      <c r="N63" s="225"/>
      <c r="O63" s="225"/>
      <c r="P63" s="159"/>
      <c r="Q63" s="226" t="str">
        <f>IF(櫃號表格!M12="","",櫃號表格!M12)</f>
        <v/>
      </c>
      <c r="R63" s="226"/>
      <c r="S63" s="226"/>
      <c r="T63" s="226"/>
      <c r="U63" s="226"/>
    </row>
    <row r="64" spans="1:24" ht="14" customHeight="1">
      <c r="A64" s="156"/>
      <c r="B64" s="156"/>
      <c r="C64" s="156"/>
      <c r="D64" s="156"/>
      <c r="E64" s="159" t="str">
        <f>IF(櫃號表格!A13="","",櫃號表格!A13)</f>
        <v/>
      </c>
      <c r="F64" s="159"/>
      <c r="G64" s="159"/>
      <c r="H64" s="159"/>
      <c r="I64" s="159"/>
      <c r="J64" s="225" t="str">
        <f>IF(櫃號表格!F13="","",櫃號表格!F13)</f>
        <v/>
      </c>
      <c r="K64" s="225"/>
      <c r="L64" s="225"/>
      <c r="M64" s="225"/>
      <c r="N64" s="225"/>
      <c r="O64" s="225"/>
      <c r="P64" s="159"/>
      <c r="Q64" s="226" t="str">
        <f>IF(櫃號表格!M13="","",櫃號表格!M13)</f>
        <v/>
      </c>
      <c r="R64" s="226"/>
      <c r="S64" s="226"/>
      <c r="T64" s="226"/>
      <c r="U64" s="226"/>
    </row>
    <row r="65" spans="1:21" ht="14" customHeight="1">
      <c r="A65" s="156"/>
      <c r="B65" s="156"/>
      <c r="C65" s="156"/>
      <c r="D65" s="156"/>
      <c r="E65" s="159" t="str">
        <f>IF(櫃號表格!A14="","",櫃號表格!A14)</f>
        <v/>
      </c>
      <c r="F65" s="159"/>
      <c r="G65" s="159"/>
      <c r="H65" s="159"/>
      <c r="I65" s="159"/>
      <c r="J65" s="225" t="str">
        <f>IF(櫃號表格!F14="","",櫃號表格!F14)</f>
        <v/>
      </c>
      <c r="K65" s="225"/>
      <c r="L65" s="225"/>
      <c r="M65" s="225"/>
      <c r="N65" s="225"/>
      <c r="O65" s="225"/>
      <c r="P65" s="159"/>
      <c r="Q65" s="226" t="str">
        <f>IF(櫃號表格!M14="","",櫃號表格!M14)</f>
        <v/>
      </c>
      <c r="R65" s="226"/>
      <c r="S65" s="226"/>
      <c r="T65" s="226"/>
      <c r="U65" s="226"/>
    </row>
    <row r="66" spans="1:21" ht="14" customHeight="1">
      <c r="A66" s="156"/>
      <c r="B66" s="156"/>
      <c r="C66" s="156"/>
      <c r="D66" s="156"/>
      <c r="E66" s="159" t="str">
        <f>IF(櫃號表格!A15="","",櫃號表格!A15)</f>
        <v/>
      </c>
      <c r="F66" s="159"/>
      <c r="G66" s="159"/>
      <c r="H66" s="159"/>
      <c r="I66" s="159"/>
      <c r="J66" s="225" t="str">
        <f>IF(櫃號表格!F15="","",櫃號表格!F15)</f>
        <v/>
      </c>
      <c r="K66" s="225"/>
      <c r="L66" s="225"/>
      <c r="M66" s="225"/>
      <c r="N66" s="225"/>
      <c r="O66" s="225"/>
      <c r="P66" s="159"/>
      <c r="Q66" s="226" t="str">
        <f>IF(櫃號表格!M15="","",櫃號表格!M15)</f>
        <v/>
      </c>
      <c r="R66" s="226"/>
      <c r="S66" s="226"/>
      <c r="T66" s="226"/>
      <c r="U66" s="226"/>
    </row>
    <row r="67" spans="1:21" ht="14" customHeight="1">
      <c r="A67" s="156"/>
      <c r="B67" s="156"/>
      <c r="C67" s="156"/>
      <c r="D67" s="156"/>
      <c r="E67" s="159" t="str">
        <f>IF(櫃號表格!A16="","",櫃號表格!A16)</f>
        <v/>
      </c>
      <c r="F67" s="159"/>
      <c r="G67" s="159"/>
      <c r="H67" s="159"/>
      <c r="I67" s="159"/>
      <c r="J67" s="225" t="str">
        <f>IF(櫃號表格!F16="","",櫃號表格!F16)</f>
        <v/>
      </c>
      <c r="K67" s="225"/>
      <c r="L67" s="225"/>
      <c r="M67" s="225"/>
      <c r="N67" s="225"/>
      <c r="O67" s="225"/>
      <c r="P67" s="159"/>
      <c r="Q67" s="226" t="str">
        <f>IF(櫃號表格!M16="","",櫃號表格!M16)</f>
        <v/>
      </c>
      <c r="R67" s="226"/>
      <c r="S67" s="226"/>
      <c r="T67" s="226"/>
      <c r="U67" s="226"/>
    </row>
    <row r="68" spans="1:21" ht="14" customHeight="1">
      <c r="A68" s="156"/>
      <c r="B68" s="156"/>
      <c r="C68" s="156"/>
      <c r="D68" s="156"/>
      <c r="E68" s="159" t="str">
        <f>IF(櫃號表格!A17="","",櫃號表格!A17)</f>
        <v/>
      </c>
      <c r="F68" s="159"/>
      <c r="G68" s="159"/>
      <c r="H68" s="159"/>
      <c r="I68" s="159"/>
      <c r="J68" s="225" t="str">
        <f>IF(櫃號表格!F17="","",櫃號表格!F17)</f>
        <v/>
      </c>
      <c r="K68" s="225"/>
      <c r="L68" s="225"/>
      <c r="M68" s="225"/>
      <c r="N68" s="225"/>
      <c r="O68" s="225"/>
      <c r="P68" s="159"/>
      <c r="Q68" s="226" t="str">
        <f>IF(櫃號表格!M17="","",櫃號表格!M17)</f>
        <v/>
      </c>
      <c r="R68" s="226"/>
      <c r="S68" s="226"/>
      <c r="T68" s="226"/>
      <c r="U68" s="226"/>
    </row>
    <row r="69" spans="1:21" ht="14" customHeight="1">
      <c r="A69" s="156"/>
      <c r="B69" s="156"/>
      <c r="C69" s="156"/>
      <c r="D69" s="156"/>
      <c r="E69" s="159" t="str">
        <f>IF(櫃號表格!A18="","",櫃號表格!A18)</f>
        <v/>
      </c>
      <c r="F69" s="159"/>
      <c r="G69" s="159"/>
      <c r="H69" s="159"/>
      <c r="I69" s="159"/>
      <c r="J69" s="225" t="str">
        <f>IF(櫃號表格!F18="","",櫃號表格!F18)</f>
        <v/>
      </c>
      <c r="K69" s="225"/>
      <c r="L69" s="225"/>
      <c r="M69" s="225"/>
      <c r="N69" s="225"/>
      <c r="O69" s="225"/>
      <c r="P69" s="159"/>
      <c r="Q69" s="226" t="str">
        <f>IF(櫃號表格!M18="","",櫃號表格!M18)</f>
        <v/>
      </c>
      <c r="R69" s="226"/>
      <c r="S69" s="226"/>
      <c r="T69" s="226"/>
      <c r="U69" s="226"/>
    </row>
    <row r="70" spans="1:21" ht="14" customHeight="1">
      <c r="A70" s="156"/>
      <c r="B70" s="156"/>
      <c r="C70" s="156"/>
      <c r="D70" s="156"/>
      <c r="E70" s="159" t="str">
        <f>IF(櫃號表格!A19="","",櫃號表格!A19)</f>
        <v/>
      </c>
      <c r="F70" s="159"/>
      <c r="G70" s="159"/>
      <c r="H70" s="159"/>
      <c r="I70" s="159"/>
      <c r="J70" s="225" t="str">
        <f>IF(櫃號表格!F19="","",櫃號表格!F19)</f>
        <v/>
      </c>
      <c r="K70" s="225"/>
      <c r="L70" s="225"/>
      <c r="M70" s="225"/>
      <c r="N70" s="225"/>
      <c r="O70" s="225"/>
      <c r="P70" s="159"/>
      <c r="Q70" s="226" t="str">
        <f>IF(櫃號表格!M19="","",櫃號表格!M19)</f>
        <v/>
      </c>
      <c r="R70" s="226"/>
      <c r="S70" s="226"/>
      <c r="T70" s="226"/>
      <c r="U70" s="226"/>
    </row>
    <row r="71" spans="1:21" ht="14" customHeight="1">
      <c r="A71" s="156"/>
      <c r="B71" s="156"/>
      <c r="C71" s="156"/>
      <c r="D71" s="156"/>
      <c r="E71" s="159" t="str">
        <f>IF(櫃號表格!A20="","",櫃號表格!A20)</f>
        <v/>
      </c>
      <c r="F71" s="159"/>
      <c r="G71" s="159"/>
      <c r="H71" s="159"/>
      <c r="I71" s="159"/>
      <c r="J71" s="225" t="str">
        <f>IF(櫃號表格!F20="","",櫃號表格!F20)</f>
        <v/>
      </c>
      <c r="K71" s="225"/>
      <c r="L71" s="225"/>
      <c r="M71" s="225"/>
      <c r="N71" s="225"/>
      <c r="O71" s="225"/>
      <c r="P71" s="159"/>
      <c r="Q71" s="226" t="str">
        <f>IF(櫃號表格!M20="","",櫃號表格!M20)</f>
        <v/>
      </c>
      <c r="R71" s="226"/>
      <c r="S71" s="226"/>
      <c r="T71" s="226"/>
      <c r="U71" s="226"/>
    </row>
    <row r="72" spans="1:21" ht="14" customHeight="1">
      <c r="A72" s="156"/>
      <c r="B72" s="156"/>
      <c r="C72" s="156"/>
      <c r="D72" s="156"/>
      <c r="E72" s="159" t="str">
        <f>IF(櫃號表格!A21="","",櫃號表格!A21)</f>
        <v/>
      </c>
      <c r="F72" s="159"/>
      <c r="G72" s="159"/>
      <c r="H72" s="159"/>
      <c r="I72" s="159"/>
      <c r="J72" s="225" t="str">
        <f>IF(櫃號表格!F21="","",櫃號表格!F21)</f>
        <v/>
      </c>
      <c r="K72" s="225"/>
      <c r="L72" s="225"/>
      <c r="M72" s="225"/>
      <c r="N72" s="225"/>
      <c r="O72" s="225"/>
      <c r="P72" s="159"/>
      <c r="Q72" s="226" t="str">
        <f>IF(櫃號表格!M21="","",櫃號表格!M21)</f>
        <v/>
      </c>
      <c r="R72" s="226"/>
      <c r="S72" s="226"/>
      <c r="T72" s="226"/>
      <c r="U72" s="226"/>
    </row>
    <row r="73" spans="1:21" ht="14" customHeight="1">
      <c r="A73" s="156"/>
      <c r="B73" s="156"/>
      <c r="C73" s="156"/>
      <c r="D73" s="156"/>
      <c r="E73" s="159" t="str">
        <f>IF(櫃號表格!A22="","",櫃號表格!A22)</f>
        <v/>
      </c>
      <c r="F73" s="159"/>
      <c r="G73" s="159"/>
      <c r="H73" s="159"/>
      <c r="I73" s="159"/>
      <c r="J73" s="225" t="str">
        <f>IF(櫃號表格!F22="","",櫃號表格!F22)</f>
        <v/>
      </c>
      <c r="K73" s="225"/>
      <c r="L73" s="225"/>
      <c r="M73" s="225"/>
      <c r="N73" s="225"/>
      <c r="O73" s="225"/>
      <c r="P73" s="159"/>
      <c r="Q73" s="226" t="str">
        <f>IF(櫃號表格!M22="","",櫃號表格!M22)</f>
        <v/>
      </c>
      <c r="R73" s="226"/>
      <c r="S73" s="226"/>
      <c r="T73" s="226"/>
      <c r="U73" s="226"/>
    </row>
    <row r="74" spans="1:21" ht="14" customHeight="1">
      <c r="A74" s="156"/>
      <c r="B74" s="156"/>
      <c r="C74" s="156"/>
      <c r="D74" s="156"/>
      <c r="E74" s="159" t="str">
        <f>IF(櫃號表格!A23="","",櫃號表格!A23)</f>
        <v/>
      </c>
      <c r="F74" s="159"/>
      <c r="G74" s="159"/>
      <c r="H74" s="159"/>
      <c r="I74" s="159"/>
      <c r="J74" s="225" t="str">
        <f>IF(櫃號表格!F23="","",櫃號表格!F23)</f>
        <v/>
      </c>
      <c r="K74" s="225"/>
      <c r="L74" s="225"/>
      <c r="M74" s="225"/>
      <c r="N74" s="225"/>
      <c r="O74" s="225"/>
      <c r="P74" s="159"/>
      <c r="Q74" s="226" t="str">
        <f>IF(櫃號表格!M23="","",櫃號表格!M23)</f>
        <v/>
      </c>
      <c r="R74" s="226"/>
      <c r="S74" s="226"/>
      <c r="T74" s="226"/>
      <c r="U74" s="226"/>
    </row>
    <row r="75" spans="1:21" ht="14" customHeight="1">
      <c r="A75" s="156"/>
      <c r="B75" s="156"/>
      <c r="C75" s="156"/>
      <c r="D75" s="156"/>
      <c r="E75" s="159" t="str">
        <f>IF(櫃號表格!A24="","",櫃號表格!A24)</f>
        <v/>
      </c>
      <c r="F75" s="159"/>
      <c r="G75" s="159"/>
      <c r="H75" s="159"/>
      <c r="I75" s="159"/>
      <c r="J75" s="225" t="str">
        <f>IF(櫃號表格!F24="","",櫃號表格!F24)</f>
        <v/>
      </c>
      <c r="K75" s="225"/>
      <c r="L75" s="225"/>
      <c r="M75" s="225"/>
      <c r="N75" s="225"/>
      <c r="O75" s="225"/>
      <c r="P75" s="159"/>
      <c r="Q75" s="226" t="str">
        <f>IF(櫃號表格!M24="","",櫃號表格!M24)</f>
        <v/>
      </c>
      <c r="R75" s="226"/>
      <c r="S75" s="226"/>
      <c r="T75" s="226"/>
      <c r="U75" s="226"/>
    </row>
    <row r="76" spans="1:21" ht="14" customHeight="1">
      <c r="A76" s="156"/>
      <c r="B76" s="156"/>
      <c r="C76" s="156"/>
      <c r="D76" s="156"/>
      <c r="E76" s="159" t="str">
        <f>IF(櫃號表格!A25="","",櫃號表格!A25)</f>
        <v/>
      </c>
      <c r="F76" s="159"/>
      <c r="G76" s="159"/>
      <c r="H76" s="159"/>
      <c r="I76" s="159"/>
      <c r="J76" s="225" t="str">
        <f>IF(櫃號表格!F25="","",櫃號表格!F25)</f>
        <v/>
      </c>
      <c r="K76" s="225"/>
      <c r="L76" s="225"/>
      <c r="M76" s="225"/>
      <c r="N76" s="225"/>
      <c r="O76" s="225"/>
      <c r="P76" s="159"/>
      <c r="Q76" s="226" t="str">
        <f>IF(櫃號表格!M25="","",櫃號表格!M25)</f>
        <v/>
      </c>
      <c r="R76" s="226"/>
      <c r="S76" s="226"/>
      <c r="T76" s="226"/>
      <c r="U76" s="226"/>
    </row>
    <row r="77" spans="1:21" ht="14" customHeight="1">
      <c r="A77" s="156"/>
      <c r="B77" s="156"/>
      <c r="C77" s="156"/>
      <c r="D77" s="156"/>
      <c r="E77" s="159" t="str">
        <f>IF(櫃號表格!A26="","",櫃號表格!A26)</f>
        <v/>
      </c>
      <c r="F77" s="159"/>
      <c r="G77" s="159"/>
      <c r="H77" s="159"/>
      <c r="I77" s="159"/>
      <c r="J77" s="225" t="str">
        <f>IF(櫃號表格!F26="","",櫃號表格!F26)</f>
        <v/>
      </c>
      <c r="K77" s="225"/>
      <c r="L77" s="225"/>
      <c r="M77" s="225"/>
      <c r="N77" s="225"/>
      <c r="O77" s="225"/>
      <c r="P77" s="159"/>
      <c r="Q77" s="226" t="str">
        <f>IF(櫃號表格!M26="","",櫃號表格!M26)</f>
        <v/>
      </c>
      <c r="R77" s="226"/>
      <c r="S77" s="226"/>
      <c r="T77" s="226"/>
      <c r="U77" s="226"/>
    </row>
    <row r="78" spans="1:21" ht="14" customHeight="1">
      <c r="A78" s="156"/>
      <c r="B78" s="156"/>
      <c r="C78" s="156"/>
      <c r="D78" s="156"/>
      <c r="E78" s="159" t="str">
        <f>IF(櫃號表格!A27="","",櫃號表格!A27)</f>
        <v/>
      </c>
      <c r="F78" s="159"/>
      <c r="G78" s="159"/>
      <c r="H78" s="159"/>
      <c r="I78" s="159"/>
      <c r="J78" s="225" t="str">
        <f>IF(櫃號表格!F27="","",櫃號表格!F27)</f>
        <v/>
      </c>
      <c r="K78" s="225"/>
      <c r="L78" s="225"/>
      <c r="M78" s="225"/>
      <c r="N78" s="225"/>
      <c r="O78" s="225"/>
      <c r="P78" s="159"/>
      <c r="Q78" s="226" t="str">
        <f>IF(櫃號表格!M27="","",櫃號表格!M27)</f>
        <v/>
      </c>
      <c r="R78" s="226"/>
      <c r="S78" s="226"/>
      <c r="T78" s="226"/>
      <c r="U78" s="226"/>
    </row>
    <row r="79" spans="1:21" ht="14" customHeight="1">
      <c r="A79" s="156"/>
      <c r="B79" s="156"/>
      <c r="C79" s="156"/>
      <c r="D79" s="156"/>
      <c r="E79" s="159" t="str">
        <f>IF(櫃號表格!A28="","",櫃號表格!A28)</f>
        <v/>
      </c>
      <c r="F79" s="159"/>
      <c r="G79" s="159"/>
      <c r="H79" s="159"/>
      <c r="I79" s="159"/>
      <c r="J79" s="225" t="str">
        <f>IF(櫃號表格!F28="","",櫃號表格!F28)</f>
        <v/>
      </c>
      <c r="K79" s="225"/>
      <c r="L79" s="225"/>
      <c r="M79" s="225"/>
      <c r="N79" s="225"/>
      <c r="O79" s="225"/>
      <c r="P79" s="159"/>
      <c r="Q79" s="226" t="str">
        <f>IF(櫃號表格!M28="","",櫃號表格!M28)</f>
        <v/>
      </c>
      <c r="R79" s="226"/>
      <c r="S79" s="226"/>
      <c r="T79" s="226"/>
      <c r="U79" s="226"/>
    </row>
    <row r="80" spans="1:21" ht="14" customHeight="1">
      <c r="A80" s="156"/>
      <c r="B80" s="156"/>
      <c r="C80" s="156"/>
      <c r="D80" s="156"/>
      <c r="E80" s="159" t="str">
        <f>IF(櫃號表格!A29="","",櫃號表格!A29)</f>
        <v/>
      </c>
      <c r="F80" s="159"/>
      <c r="G80" s="159"/>
      <c r="H80" s="159"/>
      <c r="I80" s="159"/>
      <c r="J80" s="225" t="str">
        <f>IF(櫃號表格!F29="","",櫃號表格!F29)</f>
        <v/>
      </c>
      <c r="K80" s="225"/>
      <c r="L80" s="225"/>
      <c r="M80" s="225"/>
      <c r="N80" s="225"/>
      <c r="O80" s="225"/>
      <c r="P80" s="159"/>
      <c r="Q80" s="226" t="str">
        <f>IF(櫃號表格!M29="","",櫃號表格!M29)</f>
        <v/>
      </c>
      <c r="R80" s="226"/>
      <c r="S80" s="226"/>
      <c r="T80" s="226"/>
      <c r="U80" s="226"/>
    </row>
    <row r="81" spans="1:21" ht="14" customHeight="1">
      <c r="A81" s="156"/>
      <c r="B81" s="156"/>
      <c r="C81" s="156"/>
      <c r="D81" s="156"/>
      <c r="E81" s="159" t="str">
        <f>IF(櫃號表格!A30="","",櫃號表格!A30)</f>
        <v/>
      </c>
      <c r="F81" s="159"/>
      <c r="G81" s="159"/>
      <c r="H81" s="159"/>
      <c r="I81" s="159"/>
      <c r="J81" s="225" t="str">
        <f>IF(櫃號表格!F30="","",櫃號表格!F30)</f>
        <v/>
      </c>
      <c r="K81" s="225"/>
      <c r="L81" s="225"/>
      <c r="M81" s="225"/>
      <c r="N81" s="225"/>
      <c r="O81" s="225"/>
      <c r="P81" s="159"/>
      <c r="Q81" s="226" t="str">
        <f>IF(櫃號表格!M30="","",櫃號表格!M30)</f>
        <v/>
      </c>
      <c r="R81" s="226"/>
      <c r="S81" s="226"/>
      <c r="T81" s="226"/>
      <c r="U81" s="226"/>
    </row>
    <row r="82" spans="1:21" ht="14" customHeight="1">
      <c r="A82" s="156"/>
      <c r="B82" s="156"/>
      <c r="C82" s="156"/>
      <c r="D82" s="156"/>
      <c r="E82" s="159" t="str">
        <f>IF(櫃號表格!A31="","",櫃號表格!A31)</f>
        <v/>
      </c>
      <c r="F82" s="159"/>
      <c r="G82" s="159"/>
      <c r="H82" s="159"/>
      <c r="I82" s="159"/>
      <c r="J82" s="225" t="str">
        <f>IF(櫃號表格!F31="","",櫃號表格!F31)</f>
        <v/>
      </c>
      <c r="K82" s="225"/>
      <c r="L82" s="225"/>
      <c r="M82" s="225"/>
      <c r="N82" s="225"/>
      <c r="O82" s="225"/>
      <c r="P82" s="159"/>
      <c r="Q82" s="226" t="str">
        <f>IF(櫃號表格!M31="","",櫃號表格!M31)</f>
        <v/>
      </c>
      <c r="R82" s="226"/>
      <c r="S82" s="226"/>
      <c r="T82" s="226"/>
      <c r="U82" s="226"/>
    </row>
    <row r="83" spans="1:21" ht="14" customHeight="1">
      <c r="A83" s="156"/>
      <c r="B83" s="156"/>
      <c r="C83" s="156"/>
      <c r="D83" s="156"/>
      <c r="E83" s="159" t="str">
        <f>IF(櫃號表格!A32="","",櫃號表格!A32)</f>
        <v/>
      </c>
      <c r="F83" s="159"/>
      <c r="G83" s="159"/>
      <c r="H83" s="159"/>
      <c r="I83" s="159"/>
      <c r="J83" s="225" t="str">
        <f>IF(櫃號表格!F32="","",櫃號表格!F32)</f>
        <v/>
      </c>
      <c r="K83" s="225"/>
      <c r="L83" s="225"/>
      <c r="M83" s="225"/>
      <c r="N83" s="225"/>
      <c r="O83" s="225"/>
      <c r="P83" s="159"/>
      <c r="Q83" s="226" t="str">
        <f>IF(櫃號表格!M32="","",櫃號表格!M32)</f>
        <v/>
      </c>
      <c r="R83" s="226"/>
      <c r="S83" s="226"/>
      <c r="T83" s="226"/>
      <c r="U83" s="226"/>
    </row>
    <row r="84" spans="1:21" ht="14" customHeight="1">
      <c r="A84" s="156"/>
      <c r="B84" s="156"/>
      <c r="C84" s="156"/>
      <c r="D84" s="156"/>
      <c r="E84" s="159" t="str">
        <f>IF(櫃號表格!A33="","",櫃號表格!A33)</f>
        <v/>
      </c>
      <c r="F84" s="159"/>
      <c r="G84" s="159"/>
      <c r="H84" s="159"/>
      <c r="I84" s="159"/>
      <c r="J84" s="225" t="str">
        <f>IF(櫃號表格!F33="","",櫃號表格!F33)</f>
        <v/>
      </c>
      <c r="K84" s="225"/>
      <c r="L84" s="225"/>
      <c r="M84" s="225"/>
      <c r="N84" s="225"/>
      <c r="O84" s="225"/>
      <c r="P84" s="159"/>
      <c r="Q84" s="226" t="str">
        <f>IF(櫃號表格!M33="","",櫃號表格!M33)</f>
        <v/>
      </c>
      <c r="R84" s="226"/>
      <c r="S84" s="226"/>
      <c r="T84" s="226"/>
      <c r="U84" s="226"/>
    </row>
    <row r="85" spans="1:21" ht="14" customHeight="1">
      <c r="A85" s="156"/>
      <c r="B85" s="156"/>
      <c r="C85" s="156"/>
      <c r="D85" s="156"/>
      <c r="E85" s="159" t="str">
        <f>IF(櫃號表格!A34="","",櫃號表格!A34)</f>
        <v/>
      </c>
      <c r="F85" s="159"/>
      <c r="G85" s="159"/>
      <c r="H85" s="159"/>
      <c r="I85" s="159"/>
      <c r="J85" s="225" t="str">
        <f>IF(櫃號表格!F34="","",櫃號表格!F34)</f>
        <v/>
      </c>
      <c r="K85" s="225"/>
      <c r="L85" s="225"/>
      <c r="M85" s="225"/>
      <c r="N85" s="225"/>
      <c r="O85" s="225"/>
      <c r="P85" s="159"/>
      <c r="Q85" s="226" t="str">
        <f>IF(櫃號表格!M34="","",櫃號表格!M34)</f>
        <v/>
      </c>
      <c r="R85" s="226"/>
      <c r="S85" s="226"/>
      <c r="T85" s="226"/>
      <c r="U85" s="226"/>
    </row>
    <row r="86" spans="1:21" ht="14" customHeight="1">
      <c r="A86" s="156"/>
      <c r="B86" s="156"/>
      <c r="C86" s="156"/>
      <c r="D86" s="156"/>
      <c r="E86" s="159" t="str">
        <f>IF(櫃號表格!A35="","",櫃號表格!A35)</f>
        <v/>
      </c>
      <c r="F86" s="159"/>
      <c r="G86" s="159"/>
      <c r="H86" s="159"/>
      <c r="I86" s="159"/>
      <c r="J86" s="225" t="str">
        <f>IF(櫃號表格!F35="","",櫃號表格!F35)</f>
        <v/>
      </c>
      <c r="K86" s="225"/>
      <c r="L86" s="225"/>
      <c r="M86" s="225"/>
      <c r="N86" s="225"/>
      <c r="O86" s="225"/>
      <c r="P86" s="159"/>
      <c r="Q86" s="226" t="str">
        <f>IF(櫃號表格!M35="","",櫃號表格!M35)</f>
        <v/>
      </c>
      <c r="R86" s="226"/>
      <c r="S86" s="226"/>
      <c r="T86" s="226"/>
      <c r="U86" s="226"/>
    </row>
    <row r="87" spans="1:21" ht="14" customHeight="1">
      <c r="A87" s="156"/>
      <c r="B87" s="156"/>
      <c r="C87" s="156"/>
      <c r="D87" s="156"/>
      <c r="E87" s="159" t="str">
        <f>IF(櫃號表格!A36="","",櫃號表格!A36)</f>
        <v/>
      </c>
      <c r="F87" s="159"/>
      <c r="G87" s="159"/>
      <c r="H87" s="159"/>
      <c r="I87" s="159"/>
      <c r="J87" s="225" t="str">
        <f>IF(櫃號表格!F36="","",櫃號表格!F36)</f>
        <v/>
      </c>
      <c r="K87" s="225"/>
      <c r="L87" s="225"/>
      <c r="M87" s="225"/>
      <c r="N87" s="225"/>
      <c r="O87" s="225"/>
      <c r="P87" s="159"/>
      <c r="Q87" s="226" t="str">
        <f>IF(櫃號表格!M36="","",櫃號表格!M36)</f>
        <v/>
      </c>
      <c r="R87" s="226"/>
      <c r="S87" s="226"/>
      <c r="T87" s="226"/>
      <c r="U87" s="226"/>
    </row>
    <row r="88" spans="1:21" ht="14" customHeight="1">
      <c r="A88" s="156"/>
      <c r="B88" s="156"/>
      <c r="C88" s="156"/>
      <c r="D88" s="156"/>
      <c r="E88" s="159" t="str">
        <f>IF(櫃號表格!A37="","",櫃號表格!A37)</f>
        <v/>
      </c>
      <c r="F88" s="159"/>
      <c r="G88" s="159"/>
      <c r="H88" s="159"/>
      <c r="I88" s="159"/>
      <c r="J88" s="225" t="str">
        <f>IF(櫃號表格!F37="","",櫃號表格!F37)</f>
        <v/>
      </c>
      <c r="K88" s="225"/>
      <c r="L88" s="225"/>
      <c r="M88" s="225"/>
      <c r="N88" s="225"/>
      <c r="O88" s="225"/>
      <c r="P88" s="159"/>
      <c r="Q88" s="226" t="str">
        <f>IF(櫃號表格!M37="","",櫃號表格!M37)</f>
        <v/>
      </c>
      <c r="R88" s="226"/>
      <c r="S88" s="226"/>
      <c r="T88" s="226"/>
      <c r="U88" s="226"/>
    </row>
    <row r="89" spans="1:21" ht="14" customHeight="1">
      <c r="A89" s="156"/>
      <c r="B89" s="156"/>
      <c r="C89" s="156"/>
      <c r="D89" s="156"/>
      <c r="E89" s="159" t="str">
        <f>IF(櫃號表格!A38="","",櫃號表格!A38)</f>
        <v/>
      </c>
      <c r="F89" s="159"/>
      <c r="G89" s="159"/>
      <c r="H89" s="159"/>
      <c r="I89" s="159"/>
      <c r="J89" s="225" t="str">
        <f>IF(櫃號表格!F38="","",櫃號表格!F38)</f>
        <v/>
      </c>
      <c r="K89" s="225"/>
      <c r="L89" s="225"/>
      <c r="M89" s="225"/>
      <c r="N89" s="225"/>
      <c r="O89" s="225"/>
      <c r="P89" s="159"/>
      <c r="Q89" s="226" t="str">
        <f>IF(櫃號表格!M38="","",櫃號表格!M38)</f>
        <v/>
      </c>
      <c r="R89" s="226"/>
      <c r="S89" s="226"/>
      <c r="T89" s="226"/>
      <c r="U89" s="226"/>
    </row>
    <row r="90" spans="1:21" ht="14" customHeight="1">
      <c r="A90" s="156"/>
      <c r="B90" s="156"/>
      <c r="C90" s="156"/>
      <c r="D90" s="156"/>
      <c r="E90" s="159" t="str">
        <f>IF(櫃號表格!A39="","",櫃號表格!A39)</f>
        <v/>
      </c>
      <c r="F90" s="159"/>
      <c r="G90" s="159"/>
      <c r="H90" s="159"/>
      <c r="I90" s="159"/>
      <c r="J90" s="225" t="str">
        <f>IF(櫃號表格!F39="","",櫃號表格!F39)</f>
        <v/>
      </c>
      <c r="K90" s="225"/>
      <c r="L90" s="225"/>
      <c r="M90" s="225"/>
      <c r="N90" s="225"/>
      <c r="O90" s="225"/>
      <c r="P90" s="159"/>
      <c r="Q90" s="226" t="str">
        <f>IF(櫃號表格!M39="","",櫃號表格!M39)</f>
        <v/>
      </c>
      <c r="R90" s="226"/>
      <c r="S90" s="226"/>
      <c r="T90" s="226"/>
      <c r="U90" s="226"/>
    </row>
    <row r="91" spans="1:21" ht="14" customHeight="1">
      <c r="A91" s="156"/>
      <c r="B91" s="156"/>
      <c r="C91" s="156"/>
      <c r="D91" s="156"/>
      <c r="E91" s="159" t="str">
        <f>IF(櫃號表格!A40="","",櫃號表格!A40)</f>
        <v/>
      </c>
      <c r="F91" s="159"/>
      <c r="G91" s="159"/>
      <c r="H91" s="159"/>
      <c r="I91" s="159"/>
      <c r="J91" s="225" t="str">
        <f>IF(櫃號表格!F40="","",櫃號表格!F40)</f>
        <v/>
      </c>
      <c r="K91" s="225"/>
      <c r="L91" s="225"/>
      <c r="M91" s="225"/>
      <c r="N91" s="225"/>
      <c r="O91" s="225"/>
      <c r="P91" s="159"/>
      <c r="Q91" s="226" t="str">
        <f>IF(櫃號表格!M40="","",櫃號表格!M40)</f>
        <v/>
      </c>
      <c r="R91" s="226"/>
      <c r="S91" s="226"/>
      <c r="T91" s="226"/>
      <c r="U91" s="226"/>
    </row>
    <row r="92" spans="1:21" ht="14" customHeight="1">
      <c r="A92" s="156"/>
      <c r="B92" s="156"/>
      <c r="C92" s="156"/>
      <c r="D92" s="156"/>
      <c r="E92" s="159" t="str">
        <f>IF(櫃號表格!A41="","",櫃號表格!A41)</f>
        <v/>
      </c>
      <c r="F92" s="159"/>
      <c r="G92" s="159"/>
      <c r="H92" s="159"/>
      <c r="I92" s="159"/>
      <c r="J92" s="225" t="str">
        <f>IF(櫃號表格!F41="","",櫃號表格!F41)</f>
        <v/>
      </c>
      <c r="K92" s="225"/>
      <c r="L92" s="225"/>
      <c r="M92" s="225"/>
      <c r="N92" s="225"/>
      <c r="O92" s="225"/>
      <c r="P92" s="159"/>
      <c r="Q92" s="226" t="str">
        <f>IF(櫃號表格!M41="","",櫃號表格!M41)</f>
        <v/>
      </c>
      <c r="R92" s="226"/>
      <c r="S92" s="226"/>
      <c r="T92" s="226"/>
      <c r="U92" s="226"/>
    </row>
    <row r="93" spans="1:21" ht="14" customHeight="1">
      <c r="A93" s="156"/>
      <c r="B93" s="156"/>
      <c r="C93" s="156"/>
      <c r="D93" s="156"/>
      <c r="E93" s="159" t="str">
        <f>IF(櫃號表格!A42="","",櫃號表格!A42)</f>
        <v/>
      </c>
      <c r="F93" s="159"/>
      <c r="G93" s="159"/>
      <c r="H93" s="159"/>
      <c r="I93" s="159"/>
      <c r="J93" s="225" t="str">
        <f>IF(櫃號表格!F42="","",櫃號表格!F42)</f>
        <v/>
      </c>
      <c r="K93" s="225"/>
      <c r="L93" s="225"/>
      <c r="M93" s="225"/>
      <c r="N93" s="225"/>
      <c r="O93" s="225"/>
      <c r="P93" s="159"/>
      <c r="Q93" s="226" t="str">
        <f>IF(櫃號表格!M42="","",櫃號表格!M42)</f>
        <v/>
      </c>
      <c r="R93" s="226"/>
      <c r="S93" s="226"/>
      <c r="T93" s="226"/>
      <c r="U93" s="226"/>
    </row>
    <row r="94" spans="1:21" ht="14" customHeight="1">
      <c r="A94" s="156"/>
      <c r="B94" s="156"/>
      <c r="C94" s="156"/>
      <c r="D94" s="156"/>
      <c r="E94" s="159" t="str">
        <f>IF(櫃號表格!A43="","",櫃號表格!A43)</f>
        <v/>
      </c>
      <c r="F94" s="159"/>
      <c r="G94" s="159"/>
      <c r="H94" s="159"/>
      <c r="I94" s="159"/>
      <c r="J94" s="225" t="str">
        <f>IF(櫃號表格!F43="","",櫃號表格!F43)</f>
        <v/>
      </c>
      <c r="K94" s="225"/>
      <c r="L94" s="225"/>
      <c r="M94" s="225"/>
      <c r="N94" s="225"/>
      <c r="O94" s="225"/>
      <c r="P94" s="159"/>
      <c r="Q94" s="226" t="str">
        <f>IF(櫃號表格!M43="","",櫃號表格!M43)</f>
        <v/>
      </c>
      <c r="R94" s="226"/>
      <c r="S94" s="226"/>
      <c r="T94" s="226"/>
      <c r="U94" s="226"/>
    </row>
    <row r="95" spans="1:21" ht="14" customHeight="1">
      <c r="A95" s="156"/>
      <c r="B95" s="156"/>
      <c r="C95" s="156"/>
      <c r="D95" s="156"/>
      <c r="E95" s="159" t="str">
        <f>IF(櫃號表格!A44="","",櫃號表格!A44)</f>
        <v/>
      </c>
      <c r="F95" s="159"/>
      <c r="G95" s="159"/>
      <c r="H95" s="159"/>
      <c r="I95" s="159"/>
      <c r="J95" s="225" t="str">
        <f>IF(櫃號表格!F44="","",櫃號表格!F44)</f>
        <v/>
      </c>
      <c r="K95" s="225"/>
      <c r="L95" s="225"/>
      <c r="M95" s="225"/>
      <c r="N95" s="225"/>
      <c r="O95" s="225"/>
      <c r="P95" s="159"/>
      <c r="Q95" s="226" t="str">
        <f>IF(櫃號表格!M44="","",櫃號表格!M44)</f>
        <v/>
      </c>
      <c r="R95" s="226"/>
      <c r="S95" s="226"/>
      <c r="T95" s="226"/>
      <c r="U95" s="226"/>
    </row>
    <row r="96" spans="1:21" ht="14" customHeight="1">
      <c r="A96" s="156"/>
      <c r="B96" s="156"/>
      <c r="C96" s="156"/>
      <c r="D96" s="156"/>
      <c r="E96" s="159" t="str">
        <f>IF(櫃號表格!A45="","",櫃號表格!A45)</f>
        <v/>
      </c>
      <c r="F96" s="159"/>
      <c r="G96" s="159"/>
      <c r="H96" s="159"/>
      <c r="I96" s="159"/>
      <c r="J96" s="225" t="str">
        <f>IF(櫃號表格!F45="","",櫃號表格!F45)</f>
        <v/>
      </c>
      <c r="K96" s="225"/>
      <c r="L96" s="225"/>
      <c r="M96" s="225"/>
      <c r="N96" s="225"/>
      <c r="O96" s="225"/>
      <c r="P96" s="159"/>
      <c r="Q96" s="226" t="str">
        <f>IF(櫃號表格!M45="","",櫃號表格!M45)</f>
        <v/>
      </c>
      <c r="R96" s="226"/>
      <c r="S96" s="226"/>
      <c r="T96" s="226"/>
      <c r="U96" s="226"/>
    </row>
    <row r="97" spans="1:21" ht="14" customHeight="1">
      <c r="A97" s="156"/>
      <c r="B97" s="156"/>
      <c r="C97" s="156"/>
      <c r="D97" s="156"/>
      <c r="E97" s="159" t="str">
        <f>IF(櫃號表格!A46="","",櫃號表格!A46)</f>
        <v/>
      </c>
      <c r="F97" s="159"/>
      <c r="G97" s="159"/>
      <c r="H97" s="159"/>
      <c r="I97" s="159"/>
      <c r="J97" s="225" t="str">
        <f>IF(櫃號表格!F46="","",櫃號表格!F46)</f>
        <v/>
      </c>
      <c r="K97" s="225"/>
      <c r="L97" s="225"/>
      <c r="M97" s="225"/>
      <c r="N97" s="225"/>
      <c r="O97" s="225"/>
      <c r="P97" s="159"/>
      <c r="Q97" s="226" t="str">
        <f>IF(櫃號表格!M46="","",櫃號表格!M46)</f>
        <v/>
      </c>
      <c r="R97" s="226"/>
      <c r="S97" s="226"/>
      <c r="T97" s="226"/>
      <c r="U97" s="226"/>
    </row>
    <row r="98" spans="1:21" ht="14" customHeight="1">
      <c r="A98" s="156"/>
      <c r="B98" s="156"/>
      <c r="C98" s="156"/>
      <c r="D98" s="156"/>
      <c r="E98" s="159" t="str">
        <f>IF(櫃號表格!A47="","",櫃號表格!A47)</f>
        <v/>
      </c>
      <c r="F98" s="159"/>
      <c r="G98" s="159"/>
      <c r="H98" s="159"/>
      <c r="I98" s="159"/>
      <c r="J98" s="225" t="str">
        <f>IF(櫃號表格!F47="","",櫃號表格!F47)</f>
        <v/>
      </c>
      <c r="K98" s="225"/>
      <c r="L98" s="225"/>
      <c r="M98" s="225"/>
      <c r="N98" s="225"/>
      <c r="O98" s="225"/>
      <c r="P98" s="159"/>
      <c r="Q98" s="226" t="str">
        <f>IF(櫃號表格!M47="","",櫃號表格!M47)</f>
        <v/>
      </c>
      <c r="R98" s="226"/>
      <c r="S98" s="226"/>
      <c r="T98" s="226"/>
      <c r="U98" s="226"/>
    </row>
    <row r="99" spans="1:21" ht="14" customHeight="1">
      <c r="A99" s="156"/>
      <c r="B99" s="156"/>
      <c r="C99" s="156"/>
      <c r="D99" s="156"/>
      <c r="E99" s="159" t="str">
        <f>IF(櫃號表格!A48="","",櫃號表格!A48)</f>
        <v/>
      </c>
      <c r="F99" s="159"/>
      <c r="G99" s="159"/>
      <c r="H99" s="159"/>
      <c r="I99" s="159"/>
      <c r="J99" s="225" t="str">
        <f>IF(櫃號表格!F48="","",櫃號表格!F48)</f>
        <v/>
      </c>
      <c r="K99" s="225"/>
      <c r="L99" s="225"/>
      <c r="M99" s="225"/>
      <c r="N99" s="225"/>
      <c r="O99" s="225"/>
      <c r="P99" s="159"/>
      <c r="Q99" s="226" t="str">
        <f>IF(櫃號表格!M48="","",櫃號表格!M48)</f>
        <v/>
      </c>
      <c r="R99" s="226"/>
      <c r="S99" s="226"/>
      <c r="T99" s="226"/>
      <c r="U99" s="226"/>
    </row>
    <row r="100" spans="1:21" ht="14" customHeight="1">
      <c r="A100" s="156"/>
      <c r="B100" s="156"/>
      <c r="C100" s="156"/>
      <c r="D100" s="156"/>
      <c r="E100" s="159" t="str">
        <f>IF(櫃號表格!A49="","",櫃號表格!A49)</f>
        <v/>
      </c>
      <c r="F100" s="159"/>
      <c r="G100" s="159"/>
      <c r="H100" s="159"/>
      <c r="I100" s="159"/>
      <c r="J100" s="225" t="str">
        <f>IF(櫃號表格!F49="","",櫃號表格!F49)</f>
        <v/>
      </c>
      <c r="K100" s="225"/>
      <c r="L100" s="225"/>
      <c r="M100" s="225"/>
      <c r="N100" s="225"/>
      <c r="O100" s="225"/>
      <c r="P100" s="159"/>
      <c r="Q100" s="226" t="str">
        <f>IF(櫃號表格!M49="","",櫃號表格!M49)</f>
        <v/>
      </c>
      <c r="R100" s="226"/>
      <c r="S100" s="226"/>
      <c r="T100" s="226"/>
      <c r="U100" s="226"/>
    </row>
    <row r="101" spans="1:21" ht="14" customHeight="1">
      <c r="A101" s="156"/>
      <c r="B101" s="156"/>
      <c r="C101" s="156"/>
      <c r="D101" s="156"/>
      <c r="E101" s="159" t="str">
        <f>IF(櫃號表格!A50="","",櫃號表格!A50)</f>
        <v/>
      </c>
      <c r="F101" s="159"/>
      <c r="G101" s="159"/>
      <c r="H101" s="159"/>
      <c r="I101" s="159"/>
      <c r="J101" s="225" t="str">
        <f>IF(櫃號表格!F50="","",櫃號表格!F50)</f>
        <v/>
      </c>
      <c r="K101" s="225"/>
      <c r="L101" s="225"/>
      <c r="M101" s="225"/>
      <c r="N101" s="225"/>
      <c r="O101" s="225"/>
      <c r="P101" s="159"/>
      <c r="Q101" s="226" t="str">
        <f>IF(櫃號表格!M50="","",櫃號表格!M50)</f>
        <v/>
      </c>
      <c r="R101" s="226"/>
      <c r="S101" s="226"/>
      <c r="T101" s="226"/>
      <c r="U101" s="226"/>
    </row>
    <row r="102" spans="1:21" ht="14" customHeight="1">
      <c r="A102" s="156"/>
      <c r="B102" s="156"/>
      <c r="C102" s="156"/>
      <c r="D102" s="156"/>
      <c r="E102" s="159" t="str">
        <f>IF(櫃號表格!A51="","",櫃號表格!A51)</f>
        <v/>
      </c>
      <c r="F102" s="159"/>
      <c r="G102" s="159"/>
      <c r="H102" s="159"/>
      <c r="I102" s="159"/>
      <c r="J102" s="225" t="str">
        <f>IF(櫃號表格!F51="","",櫃號表格!F51)</f>
        <v/>
      </c>
      <c r="K102" s="225"/>
      <c r="L102" s="225"/>
      <c r="M102" s="225"/>
      <c r="N102" s="225"/>
      <c r="O102" s="225"/>
      <c r="P102" s="159"/>
      <c r="Q102" s="226" t="str">
        <f>IF(櫃號表格!M51="","",櫃號表格!M51)</f>
        <v/>
      </c>
      <c r="R102" s="226"/>
      <c r="S102" s="226"/>
      <c r="T102" s="226"/>
      <c r="U102" s="226"/>
    </row>
    <row r="103" spans="1:21" ht="14" customHeight="1">
      <c r="A103" s="156"/>
      <c r="B103" s="156"/>
      <c r="C103" s="156"/>
      <c r="D103" s="156"/>
      <c r="E103" s="159" t="str">
        <f>IF(櫃號表格!A52="","",櫃號表格!A52)</f>
        <v/>
      </c>
      <c r="F103" s="159"/>
      <c r="G103" s="159"/>
      <c r="H103" s="159"/>
      <c r="I103" s="159"/>
      <c r="J103" s="225" t="str">
        <f>IF(櫃號表格!F52="","",櫃號表格!F52)</f>
        <v/>
      </c>
      <c r="K103" s="225"/>
      <c r="L103" s="225"/>
      <c r="M103" s="225"/>
      <c r="N103" s="225"/>
      <c r="O103" s="225"/>
      <c r="P103" s="159"/>
      <c r="Q103" s="226" t="str">
        <f>IF(櫃號表格!M52="","",櫃號表格!M52)</f>
        <v/>
      </c>
      <c r="R103" s="226"/>
      <c r="S103" s="226"/>
      <c r="T103" s="226"/>
      <c r="U103" s="226"/>
    </row>
    <row r="104" spans="1:21" ht="14" customHeight="1">
      <c r="A104" s="156"/>
      <c r="B104" s="156"/>
      <c r="C104" s="156"/>
      <c r="D104" s="156"/>
      <c r="E104" s="159" t="str">
        <f>IF(櫃號表格!A53="","",櫃號表格!A53)</f>
        <v/>
      </c>
      <c r="F104" s="159"/>
      <c r="G104" s="159"/>
      <c r="H104" s="159"/>
      <c r="I104" s="159"/>
      <c r="J104" s="225" t="str">
        <f>IF(櫃號表格!F53="","",櫃號表格!F53)</f>
        <v/>
      </c>
      <c r="K104" s="225"/>
      <c r="L104" s="225"/>
      <c r="M104" s="225"/>
      <c r="N104" s="225"/>
      <c r="O104" s="225"/>
      <c r="P104" s="159"/>
      <c r="Q104" s="226" t="str">
        <f>IF(櫃號表格!M53="","",櫃號表格!M53)</f>
        <v/>
      </c>
      <c r="R104" s="226"/>
      <c r="S104" s="226"/>
      <c r="T104" s="226"/>
      <c r="U104" s="226"/>
    </row>
    <row r="105" spans="1:21" ht="14" customHeight="1">
      <c r="A105" s="156"/>
      <c r="B105" s="156"/>
      <c r="C105" s="156"/>
      <c r="D105" s="156"/>
      <c r="E105" s="159" t="str">
        <f>IF(櫃號表格!A54="","",櫃號表格!A54)</f>
        <v/>
      </c>
      <c r="F105" s="159"/>
      <c r="G105" s="159"/>
      <c r="H105" s="159"/>
      <c r="I105" s="159"/>
      <c r="J105" s="225" t="str">
        <f>IF(櫃號表格!F54="","",櫃號表格!F54)</f>
        <v/>
      </c>
      <c r="K105" s="225"/>
      <c r="L105" s="225"/>
      <c r="M105" s="225"/>
      <c r="N105" s="225"/>
      <c r="O105" s="225"/>
      <c r="P105" s="159"/>
      <c r="Q105" s="226" t="str">
        <f>IF(櫃號表格!M54="","",櫃號表格!M54)</f>
        <v/>
      </c>
      <c r="R105" s="226"/>
      <c r="S105" s="226"/>
      <c r="T105" s="226"/>
      <c r="U105" s="226"/>
    </row>
    <row r="106" spans="1:21" ht="14" customHeight="1">
      <c r="A106" s="156"/>
      <c r="B106" s="156"/>
      <c r="C106" s="156"/>
      <c r="D106" s="156"/>
      <c r="E106" s="159" t="str">
        <f>IF(櫃號表格!A55="","",櫃號表格!A55)</f>
        <v/>
      </c>
      <c r="F106" s="159"/>
      <c r="G106" s="159"/>
      <c r="H106" s="159"/>
      <c r="I106" s="159"/>
      <c r="J106" s="225" t="str">
        <f>IF(櫃號表格!F55="","",櫃號表格!F55)</f>
        <v/>
      </c>
      <c r="K106" s="225"/>
      <c r="L106" s="225"/>
      <c r="M106" s="225"/>
      <c r="N106" s="225"/>
      <c r="O106" s="225"/>
      <c r="P106" s="159"/>
      <c r="Q106" s="226" t="str">
        <f>IF(櫃號表格!M55="","",櫃號表格!M55)</f>
        <v/>
      </c>
      <c r="R106" s="226"/>
      <c r="S106" s="226"/>
      <c r="T106" s="226"/>
      <c r="U106" s="226"/>
    </row>
    <row r="107" spans="1:21" ht="14" customHeight="1">
      <c r="A107" s="156"/>
      <c r="B107" s="156"/>
      <c r="C107" s="156"/>
      <c r="D107" s="156"/>
      <c r="E107" s="159" t="str">
        <f>IF(櫃號表格!A56="","",櫃號表格!A56)</f>
        <v/>
      </c>
      <c r="F107" s="159"/>
      <c r="G107" s="159"/>
      <c r="H107" s="159"/>
      <c r="I107" s="159"/>
      <c r="J107" s="225" t="str">
        <f>IF(櫃號表格!F56="","",櫃號表格!F56)</f>
        <v/>
      </c>
      <c r="K107" s="225"/>
      <c r="L107" s="225"/>
      <c r="M107" s="225"/>
      <c r="N107" s="225"/>
      <c r="O107" s="225"/>
      <c r="P107" s="159"/>
      <c r="Q107" s="226" t="str">
        <f>IF(櫃號表格!M56="","",櫃號表格!M56)</f>
        <v/>
      </c>
      <c r="R107" s="226"/>
      <c r="S107" s="226"/>
      <c r="T107" s="226"/>
      <c r="U107" s="226"/>
    </row>
    <row r="108" spans="1:21" ht="14" customHeight="1">
      <c r="A108" s="156"/>
      <c r="B108" s="156"/>
      <c r="C108" s="156"/>
      <c r="D108" s="156"/>
      <c r="E108" s="159" t="str">
        <f>IF(櫃號表格!A57="","",櫃號表格!A57)</f>
        <v/>
      </c>
      <c r="F108" s="159"/>
      <c r="G108" s="159"/>
      <c r="H108" s="159"/>
      <c r="I108" s="159"/>
      <c r="J108" s="225" t="str">
        <f>IF(櫃號表格!F57="","",櫃號表格!F57)</f>
        <v/>
      </c>
      <c r="K108" s="225"/>
      <c r="L108" s="225"/>
      <c r="M108" s="225"/>
      <c r="N108" s="225"/>
      <c r="O108" s="225"/>
      <c r="P108" s="159"/>
      <c r="Q108" s="226" t="str">
        <f>IF(櫃號表格!M57="","",櫃號表格!M57)</f>
        <v/>
      </c>
      <c r="R108" s="226"/>
      <c r="S108" s="226"/>
      <c r="T108" s="226"/>
      <c r="U108" s="226"/>
    </row>
    <row r="109" spans="1:21" ht="14" customHeight="1">
      <c r="A109" s="156"/>
      <c r="B109" s="156"/>
      <c r="C109" s="156"/>
      <c r="D109" s="156"/>
      <c r="E109" s="159" t="str">
        <f>IF(櫃號表格!A58="","",櫃號表格!A58)</f>
        <v/>
      </c>
      <c r="F109" s="159"/>
      <c r="G109" s="159"/>
      <c r="H109" s="159"/>
      <c r="I109" s="159"/>
      <c r="J109" s="225" t="str">
        <f>IF(櫃號表格!F58="","",櫃號表格!F58)</f>
        <v/>
      </c>
      <c r="K109" s="225"/>
      <c r="L109" s="225"/>
      <c r="M109" s="225"/>
      <c r="N109" s="225"/>
      <c r="O109" s="225"/>
      <c r="P109" s="159"/>
      <c r="Q109" s="226" t="str">
        <f>IF(櫃號表格!M58="","",櫃號表格!M58)</f>
        <v/>
      </c>
      <c r="R109" s="226"/>
      <c r="S109" s="226"/>
      <c r="T109" s="226"/>
      <c r="U109" s="226"/>
    </row>
    <row r="110" spans="1:21" ht="14" customHeight="1">
      <c r="A110" s="156"/>
      <c r="B110" s="156"/>
      <c r="C110" s="156"/>
      <c r="D110" s="156"/>
      <c r="E110" s="159" t="str">
        <f>IF(櫃號表格!A59="","",櫃號表格!A59)</f>
        <v/>
      </c>
      <c r="F110" s="159"/>
      <c r="G110" s="159"/>
      <c r="H110" s="159"/>
      <c r="I110" s="159"/>
      <c r="J110" s="225" t="str">
        <f>IF(櫃號表格!F59="","",櫃號表格!F59)</f>
        <v/>
      </c>
      <c r="K110" s="225"/>
      <c r="L110" s="225"/>
      <c r="M110" s="225"/>
      <c r="N110" s="225"/>
      <c r="O110" s="225"/>
      <c r="P110" s="159"/>
      <c r="Q110" s="226" t="str">
        <f>IF(櫃號表格!M59="","",櫃號表格!M59)</f>
        <v/>
      </c>
      <c r="R110" s="226"/>
      <c r="S110" s="226"/>
      <c r="T110" s="226"/>
      <c r="U110" s="226"/>
    </row>
    <row r="111" spans="1:21" ht="14" customHeight="1">
      <c r="A111" s="156"/>
      <c r="B111" s="156"/>
      <c r="C111" s="156"/>
      <c r="D111" s="156"/>
      <c r="E111" s="159" t="str">
        <f>IF(櫃號表格!A60="","",櫃號表格!A60)</f>
        <v/>
      </c>
      <c r="F111" s="159"/>
      <c r="G111" s="159"/>
      <c r="H111" s="159"/>
      <c r="I111" s="159"/>
      <c r="J111" s="225" t="str">
        <f>IF(櫃號表格!F60="","",櫃號表格!F60)</f>
        <v/>
      </c>
      <c r="K111" s="225"/>
      <c r="L111" s="225"/>
      <c r="M111" s="225"/>
      <c r="N111" s="225"/>
      <c r="O111" s="225"/>
      <c r="P111" s="159"/>
      <c r="Q111" s="226" t="str">
        <f>IF(櫃號表格!M60="","",櫃號表格!M60)</f>
        <v/>
      </c>
      <c r="R111" s="226"/>
      <c r="S111" s="226"/>
      <c r="T111" s="226"/>
      <c r="U111" s="226"/>
    </row>
    <row r="112" spans="1:21" ht="14" customHeight="1">
      <c r="A112" s="156"/>
      <c r="B112" s="156"/>
      <c r="C112" s="156"/>
      <c r="D112" s="156"/>
      <c r="E112" s="159" t="str">
        <f>IF(櫃號表格!A61="","",櫃號表格!A61)</f>
        <v/>
      </c>
      <c r="F112" s="159"/>
      <c r="G112" s="159"/>
      <c r="H112" s="159"/>
      <c r="I112" s="159"/>
      <c r="J112" s="225" t="str">
        <f>IF(櫃號表格!F61="","",櫃號表格!F61)</f>
        <v/>
      </c>
      <c r="K112" s="225"/>
      <c r="L112" s="225"/>
      <c r="M112" s="225"/>
      <c r="N112" s="225"/>
      <c r="O112" s="225"/>
      <c r="P112" s="159"/>
      <c r="Q112" s="226" t="str">
        <f>IF(櫃號表格!M61="","",櫃號表格!M61)</f>
        <v/>
      </c>
      <c r="R112" s="226"/>
      <c r="S112" s="226"/>
      <c r="T112" s="226"/>
      <c r="U112" s="226"/>
    </row>
    <row r="113" spans="1:21" ht="14" customHeight="1">
      <c r="A113" s="156"/>
      <c r="B113" s="156"/>
      <c r="C113" s="156"/>
      <c r="D113" s="156"/>
      <c r="E113" s="159" t="str">
        <f>IF(櫃號表格!A62="","",櫃號表格!A62)</f>
        <v/>
      </c>
      <c r="F113" s="159"/>
      <c r="G113" s="159"/>
      <c r="H113" s="159"/>
      <c r="I113" s="159"/>
      <c r="J113" s="225" t="str">
        <f>IF(櫃號表格!F62="","",櫃號表格!F62)</f>
        <v/>
      </c>
      <c r="K113" s="225"/>
      <c r="L113" s="225"/>
      <c r="M113" s="225"/>
      <c r="N113" s="225"/>
      <c r="O113" s="225"/>
      <c r="P113" s="159"/>
      <c r="Q113" s="226" t="str">
        <f>IF(櫃號表格!M62="","",櫃號表格!M62)</f>
        <v/>
      </c>
      <c r="R113" s="226"/>
      <c r="S113" s="226"/>
      <c r="T113" s="226"/>
      <c r="U113" s="226"/>
    </row>
    <row r="114" spans="1:21" ht="14" customHeight="1">
      <c r="A114" s="156"/>
      <c r="B114" s="156"/>
      <c r="C114" s="156"/>
      <c r="D114" s="156"/>
      <c r="E114" s="159" t="str">
        <f>IF(櫃號表格!A63="","",櫃號表格!A63)</f>
        <v/>
      </c>
      <c r="F114" s="159"/>
      <c r="G114" s="159"/>
      <c r="H114" s="159"/>
      <c r="I114" s="159"/>
      <c r="J114" s="225" t="str">
        <f>IF(櫃號表格!F63="","",櫃號表格!F63)</f>
        <v/>
      </c>
      <c r="K114" s="225"/>
      <c r="L114" s="225"/>
      <c r="M114" s="225"/>
      <c r="N114" s="225"/>
      <c r="O114" s="225"/>
      <c r="P114" s="159"/>
      <c r="Q114" s="226" t="str">
        <f>IF(櫃號表格!M63="","",櫃號表格!M63)</f>
        <v/>
      </c>
      <c r="R114" s="226"/>
      <c r="S114" s="226"/>
      <c r="T114" s="226"/>
      <c r="U114" s="226"/>
    </row>
    <row r="115" spans="1:21" ht="14" customHeight="1">
      <c r="A115" s="156"/>
      <c r="B115" s="156"/>
      <c r="C115" s="156"/>
      <c r="D115" s="156"/>
      <c r="E115" s="159" t="str">
        <f>IF(櫃號表格!A64="","",櫃號表格!A64)</f>
        <v/>
      </c>
      <c r="F115" s="159"/>
      <c r="G115" s="159"/>
      <c r="H115" s="159"/>
      <c r="I115" s="159"/>
      <c r="J115" s="225" t="str">
        <f>IF(櫃號表格!F64="","",櫃號表格!F64)</f>
        <v/>
      </c>
      <c r="K115" s="225"/>
      <c r="L115" s="225"/>
      <c r="M115" s="225"/>
      <c r="N115" s="225"/>
      <c r="O115" s="225"/>
      <c r="P115" s="159"/>
      <c r="Q115" s="226" t="str">
        <f>IF(櫃號表格!M64="","",櫃號表格!M64)</f>
        <v/>
      </c>
      <c r="R115" s="226"/>
      <c r="S115" s="226"/>
      <c r="T115" s="226"/>
      <c r="U115" s="226"/>
    </row>
    <row r="116" spans="1:21" ht="14" customHeight="1">
      <c r="A116" s="156"/>
      <c r="B116" s="156"/>
      <c r="C116" s="156"/>
      <c r="D116" s="156"/>
      <c r="E116" s="159" t="str">
        <f>IF(櫃號表格!A65="","",櫃號表格!A65)</f>
        <v/>
      </c>
      <c r="F116" s="159"/>
      <c r="G116" s="159"/>
      <c r="H116" s="159"/>
      <c r="I116" s="159"/>
      <c r="J116" s="225" t="str">
        <f>IF(櫃號表格!F65="","",櫃號表格!F65)</f>
        <v/>
      </c>
      <c r="K116" s="225"/>
      <c r="L116" s="225"/>
      <c r="M116" s="225"/>
      <c r="N116" s="225"/>
      <c r="O116" s="225"/>
      <c r="P116" s="159"/>
      <c r="Q116" s="226" t="str">
        <f>IF(櫃號表格!M65="","",櫃號表格!M65)</f>
        <v/>
      </c>
      <c r="R116" s="226"/>
      <c r="S116" s="226"/>
      <c r="T116" s="226"/>
      <c r="U116" s="226"/>
    </row>
    <row r="117" spans="1:21" ht="14" customHeight="1">
      <c r="A117" s="156"/>
      <c r="B117" s="156"/>
      <c r="C117" s="156"/>
      <c r="D117" s="156"/>
      <c r="E117" s="159" t="str">
        <f>IF(櫃號表格!A66="","",櫃號表格!A66)</f>
        <v/>
      </c>
      <c r="F117" s="159"/>
      <c r="G117" s="159"/>
      <c r="H117" s="159"/>
      <c r="I117" s="159"/>
      <c r="J117" s="225" t="str">
        <f>IF(櫃號表格!F66="","",櫃號表格!F66)</f>
        <v/>
      </c>
      <c r="K117" s="225"/>
      <c r="L117" s="225"/>
      <c r="M117" s="225"/>
      <c r="N117" s="225"/>
      <c r="O117" s="225"/>
      <c r="P117" s="159"/>
      <c r="Q117" s="226" t="str">
        <f>IF(櫃號表格!M66="","",櫃號表格!M66)</f>
        <v/>
      </c>
      <c r="R117" s="226"/>
      <c r="S117" s="226"/>
      <c r="T117" s="226"/>
      <c r="U117" s="226"/>
    </row>
    <row r="118" spans="1:21" ht="14" customHeight="1">
      <c r="A118" s="156"/>
      <c r="B118" s="156"/>
      <c r="C118" s="156"/>
      <c r="D118" s="156"/>
      <c r="E118" s="159" t="str">
        <f>IF(櫃號表格!A67="","",櫃號表格!A67)</f>
        <v/>
      </c>
      <c r="F118" s="159"/>
      <c r="G118" s="159"/>
      <c r="H118" s="159"/>
      <c r="I118" s="159"/>
      <c r="J118" s="225" t="str">
        <f>IF(櫃號表格!F67="","",櫃號表格!F67)</f>
        <v/>
      </c>
      <c r="K118" s="225"/>
      <c r="L118" s="225"/>
      <c r="M118" s="225"/>
      <c r="N118" s="225"/>
      <c r="O118" s="225"/>
      <c r="P118" s="159"/>
      <c r="Q118" s="226" t="str">
        <f>IF(櫃號表格!M67="","",櫃號表格!M67)</f>
        <v/>
      </c>
      <c r="R118" s="226"/>
      <c r="S118" s="226"/>
      <c r="T118" s="226"/>
      <c r="U118" s="226"/>
    </row>
    <row r="119" spans="1:21" ht="14" customHeight="1">
      <c r="A119" s="156"/>
      <c r="B119" s="156"/>
      <c r="C119" s="156"/>
      <c r="D119" s="156"/>
      <c r="E119" s="159" t="str">
        <f>IF(櫃號表格!A68="","",櫃號表格!A68)</f>
        <v/>
      </c>
      <c r="F119" s="159"/>
      <c r="G119" s="159"/>
      <c r="H119" s="159"/>
      <c r="I119" s="159"/>
      <c r="J119" s="225" t="str">
        <f>IF(櫃號表格!F68="","",櫃號表格!F68)</f>
        <v/>
      </c>
      <c r="K119" s="225"/>
      <c r="L119" s="225"/>
      <c r="M119" s="225"/>
      <c r="N119" s="225"/>
      <c r="O119" s="225"/>
      <c r="P119" s="159"/>
      <c r="Q119" s="226" t="str">
        <f>IF(櫃號表格!M68="","",櫃號表格!M68)</f>
        <v/>
      </c>
      <c r="R119" s="226"/>
      <c r="S119" s="226"/>
      <c r="T119" s="226"/>
      <c r="U119" s="226"/>
    </row>
    <row r="120" spans="1:21" ht="14" customHeight="1">
      <c r="A120" s="156"/>
      <c r="B120" s="156"/>
      <c r="C120" s="156"/>
      <c r="D120" s="156"/>
      <c r="E120" s="159" t="str">
        <f>IF(櫃號表格!A69="","",櫃號表格!A69)</f>
        <v/>
      </c>
      <c r="F120" s="159"/>
      <c r="G120" s="159"/>
      <c r="H120" s="159"/>
      <c r="I120" s="159"/>
      <c r="J120" s="225" t="str">
        <f>IF(櫃號表格!F69="","",櫃號表格!F69)</f>
        <v/>
      </c>
      <c r="K120" s="225"/>
      <c r="L120" s="225"/>
      <c r="M120" s="225"/>
      <c r="N120" s="225"/>
      <c r="O120" s="225"/>
      <c r="P120" s="159"/>
      <c r="Q120" s="226" t="str">
        <f>IF(櫃號表格!M69="","",櫃號表格!M69)</f>
        <v/>
      </c>
      <c r="R120" s="226"/>
      <c r="S120" s="226"/>
      <c r="T120" s="226"/>
      <c r="U120" s="226"/>
    </row>
    <row r="121" spans="1:21" ht="14" customHeight="1">
      <c r="A121" s="156"/>
      <c r="B121" s="156"/>
      <c r="C121" s="156"/>
      <c r="D121" s="156"/>
      <c r="E121" s="159" t="str">
        <f>IF(櫃號表格!A70="","",櫃號表格!A70)</f>
        <v/>
      </c>
      <c r="F121" s="159"/>
      <c r="G121" s="159"/>
      <c r="H121" s="159"/>
      <c r="I121" s="159"/>
      <c r="J121" s="225" t="str">
        <f>IF(櫃號表格!F70="","",櫃號表格!F70)</f>
        <v/>
      </c>
      <c r="K121" s="225"/>
      <c r="L121" s="225"/>
      <c r="M121" s="225"/>
      <c r="N121" s="225"/>
      <c r="O121" s="225"/>
      <c r="P121" s="159"/>
      <c r="Q121" s="226" t="str">
        <f>IF(櫃號表格!M70="","",櫃號表格!M70)</f>
        <v/>
      </c>
      <c r="R121" s="226"/>
      <c r="S121" s="226"/>
      <c r="T121" s="226"/>
      <c r="U121" s="226"/>
    </row>
    <row r="122" spans="1:21" ht="14" customHeight="1">
      <c r="A122" s="156"/>
      <c r="B122" s="156"/>
      <c r="C122" s="156"/>
      <c r="D122" s="156"/>
      <c r="E122" s="159" t="str">
        <f>IF(櫃號表格!A71="","",櫃號表格!A71)</f>
        <v/>
      </c>
      <c r="F122" s="159"/>
      <c r="G122" s="159"/>
      <c r="H122" s="159"/>
      <c r="I122" s="159"/>
      <c r="J122" s="225" t="str">
        <f>IF(櫃號表格!F71="","",櫃號表格!F71)</f>
        <v/>
      </c>
      <c r="K122" s="225"/>
      <c r="L122" s="225"/>
      <c r="M122" s="225"/>
      <c r="N122" s="225"/>
      <c r="O122" s="225"/>
      <c r="P122" s="159"/>
      <c r="Q122" s="226" t="str">
        <f>IF(櫃號表格!M71="","",櫃號表格!M71)</f>
        <v/>
      </c>
      <c r="R122" s="226"/>
      <c r="S122" s="226"/>
      <c r="T122" s="226"/>
      <c r="U122" s="226"/>
    </row>
    <row r="123" spans="1:21" ht="14" customHeight="1">
      <c r="A123" s="156"/>
      <c r="B123" s="156"/>
      <c r="C123" s="156"/>
      <c r="D123" s="156"/>
      <c r="E123" s="159" t="str">
        <f>IF(櫃號表格!A72="","",櫃號表格!A72)</f>
        <v/>
      </c>
      <c r="F123" s="159"/>
      <c r="G123" s="159"/>
      <c r="H123" s="159"/>
      <c r="I123" s="159"/>
      <c r="J123" s="225" t="str">
        <f>IF(櫃號表格!F72="","",櫃號表格!F72)</f>
        <v/>
      </c>
      <c r="K123" s="225"/>
      <c r="L123" s="225"/>
      <c r="M123" s="225"/>
      <c r="N123" s="225"/>
      <c r="O123" s="225"/>
      <c r="P123" s="159"/>
      <c r="Q123" s="226" t="str">
        <f>IF(櫃號表格!M72="","",櫃號表格!M72)</f>
        <v/>
      </c>
      <c r="R123" s="226"/>
      <c r="S123" s="226"/>
      <c r="T123" s="226"/>
      <c r="U123" s="226"/>
    </row>
    <row r="124" spans="1:21" ht="14" customHeight="1">
      <c r="A124" s="156"/>
      <c r="B124" s="156"/>
      <c r="C124" s="156"/>
      <c r="D124" s="156"/>
      <c r="E124" s="159" t="str">
        <f>IF(櫃號表格!A73="","",櫃號表格!A73)</f>
        <v/>
      </c>
      <c r="F124" s="159"/>
      <c r="G124" s="159"/>
      <c r="H124" s="159"/>
      <c r="I124" s="159"/>
      <c r="J124" s="225" t="str">
        <f>IF(櫃號表格!F73="","",櫃號表格!F73)</f>
        <v/>
      </c>
      <c r="K124" s="225"/>
      <c r="L124" s="225"/>
      <c r="M124" s="225"/>
      <c r="N124" s="225"/>
      <c r="O124" s="225"/>
      <c r="P124" s="159"/>
      <c r="Q124" s="226" t="str">
        <f>IF(櫃號表格!M73="","",櫃號表格!M73)</f>
        <v/>
      </c>
      <c r="R124" s="226"/>
      <c r="S124" s="226"/>
      <c r="T124" s="226"/>
      <c r="U124" s="226"/>
    </row>
    <row r="125" spans="1:21" ht="14" customHeight="1">
      <c r="A125" s="156"/>
      <c r="B125" s="156"/>
      <c r="C125" s="156"/>
      <c r="D125" s="156"/>
      <c r="E125" s="159" t="str">
        <f>IF(櫃號表格!A74="","",櫃號表格!A74)</f>
        <v/>
      </c>
      <c r="F125" s="159"/>
      <c r="G125" s="159"/>
      <c r="H125" s="159"/>
      <c r="I125" s="159"/>
      <c r="J125" s="225" t="str">
        <f>IF(櫃號表格!F74="","",櫃號表格!F74)</f>
        <v/>
      </c>
      <c r="K125" s="225"/>
      <c r="L125" s="225"/>
      <c r="M125" s="225"/>
      <c r="N125" s="225"/>
      <c r="O125" s="225"/>
      <c r="P125" s="159"/>
      <c r="Q125" s="226" t="str">
        <f>IF(櫃號表格!M74="","",櫃號表格!M74)</f>
        <v/>
      </c>
      <c r="R125" s="226"/>
      <c r="S125" s="226"/>
      <c r="T125" s="226"/>
      <c r="U125" s="226"/>
    </row>
    <row r="126" spans="1:21" ht="14" customHeight="1">
      <c r="A126" s="156"/>
      <c r="B126" s="156"/>
      <c r="C126" s="156"/>
      <c r="D126" s="156"/>
      <c r="E126" s="159" t="str">
        <f>IF(櫃號表格!A75="","",櫃號表格!A75)</f>
        <v/>
      </c>
      <c r="F126" s="159"/>
      <c r="G126" s="159"/>
      <c r="H126" s="159"/>
      <c r="I126" s="159"/>
      <c r="J126" s="225" t="str">
        <f>IF(櫃號表格!F75="","",櫃號表格!F75)</f>
        <v/>
      </c>
      <c r="K126" s="225"/>
      <c r="L126" s="225"/>
      <c r="M126" s="225"/>
      <c r="N126" s="225"/>
      <c r="O126" s="225"/>
      <c r="P126" s="159"/>
      <c r="Q126" s="226" t="str">
        <f>IF(櫃號表格!M75="","",櫃號表格!M75)</f>
        <v/>
      </c>
      <c r="R126" s="226"/>
      <c r="S126" s="226"/>
      <c r="T126" s="226"/>
      <c r="U126" s="226"/>
    </row>
    <row r="127" spans="1:21" ht="14" customHeight="1">
      <c r="A127" s="156"/>
      <c r="B127" s="156"/>
      <c r="C127" s="156"/>
      <c r="D127" s="156"/>
      <c r="E127" s="159" t="str">
        <f>IF(櫃號表格!A76="","",櫃號表格!A76)</f>
        <v/>
      </c>
      <c r="F127" s="159"/>
      <c r="G127" s="159"/>
      <c r="H127" s="159"/>
      <c r="I127" s="159"/>
      <c r="J127" s="225" t="str">
        <f>IF(櫃號表格!F76="","",櫃號表格!F76)</f>
        <v/>
      </c>
      <c r="K127" s="225"/>
      <c r="L127" s="225"/>
      <c r="M127" s="225"/>
      <c r="N127" s="225"/>
      <c r="O127" s="225"/>
      <c r="P127" s="159"/>
      <c r="Q127" s="226" t="str">
        <f>IF(櫃號表格!M76="","",櫃號表格!M76)</f>
        <v/>
      </c>
      <c r="R127" s="226"/>
      <c r="S127" s="226"/>
      <c r="T127" s="226"/>
      <c r="U127" s="226"/>
    </row>
    <row r="128" spans="1:21" ht="14" customHeight="1">
      <c r="A128" s="156"/>
      <c r="B128" s="156"/>
      <c r="C128" s="156"/>
      <c r="D128" s="156"/>
      <c r="E128" s="159" t="str">
        <f>IF(櫃號表格!A77="","",櫃號表格!A77)</f>
        <v/>
      </c>
      <c r="F128" s="159"/>
      <c r="G128" s="159"/>
      <c r="H128" s="159"/>
      <c r="I128" s="159"/>
      <c r="J128" s="225" t="str">
        <f>IF(櫃號表格!F77="","",櫃號表格!F77)</f>
        <v/>
      </c>
      <c r="K128" s="225"/>
      <c r="L128" s="225"/>
      <c r="M128" s="225"/>
      <c r="N128" s="225"/>
      <c r="O128" s="225"/>
      <c r="P128" s="159"/>
      <c r="Q128" s="226" t="str">
        <f>IF(櫃號表格!M77="","",櫃號表格!M77)</f>
        <v/>
      </c>
      <c r="R128" s="226"/>
      <c r="S128" s="226"/>
      <c r="T128" s="226"/>
      <c r="U128" s="226"/>
    </row>
    <row r="129" spans="1:24" ht="14" customHeight="1">
      <c r="A129" s="156"/>
      <c r="B129" s="156"/>
      <c r="C129" s="156"/>
      <c r="D129" s="156"/>
      <c r="E129" s="159" t="str">
        <f>IF(櫃號表格!A78="","",櫃號表格!A78)</f>
        <v/>
      </c>
      <c r="F129" s="159"/>
      <c r="G129" s="159"/>
      <c r="H129" s="159"/>
      <c r="I129" s="159"/>
      <c r="J129" s="225" t="str">
        <f>IF(櫃號表格!F78="","",櫃號表格!F78)</f>
        <v/>
      </c>
      <c r="K129" s="225"/>
      <c r="L129" s="225"/>
      <c r="M129" s="225"/>
      <c r="N129" s="225"/>
      <c r="O129" s="225"/>
      <c r="P129" s="159"/>
      <c r="Q129" s="226" t="str">
        <f>IF(櫃號表格!M78="","",櫃號表格!M78)</f>
        <v/>
      </c>
      <c r="R129" s="226"/>
      <c r="S129" s="226"/>
      <c r="T129" s="226"/>
      <c r="U129" s="226"/>
    </row>
    <row r="130" spans="1:24" ht="14" customHeight="1">
      <c r="A130" s="156"/>
      <c r="B130" s="156"/>
      <c r="C130" s="156"/>
      <c r="D130" s="156"/>
      <c r="E130" s="159" t="str">
        <f>IF(櫃號表格!A79="","",櫃號表格!A79)</f>
        <v/>
      </c>
      <c r="F130" s="159"/>
      <c r="G130" s="159"/>
      <c r="H130" s="159"/>
      <c r="I130" s="159"/>
      <c r="J130" s="225" t="str">
        <f>IF(櫃號表格!F79="","",櫃號表格!F79)</f>
        <v/>
      </c>
      <c r="K130" s="225"/>
      <c r="L130" s="225"/>
      <c r="M130" s="225"/>
      <c r="N130" s="225"/>
      <c r="O130" s="225"/>
      <c r="P130" s="159"/>
      <c r="Q130" s="226" t="str">
        <f>IF(櫃號表格!M79="","",櫃號表格!M79)</f>
        <v/>
      </c>
      <c r="R130" s="226"/>
      <c r="S130" s="226"/>
      <c r="T130" s="226"/>
      <c r="U130" s="226"/>
    </row>
    <row r="131" spans="1:24" ht="14" customHeight="1">
      <c r="A131" s="156"/>
      <c r="B131" s="156"/>
      <c r="C131" s="156"/>
      <c r="D131" s="156"/>
      <c r="E131" s="159" t="str">
        <f>IF(櫃號表格!A80="","",櫃號表格!A80)</f>
        <v/>
      </c>
      <c r="F131" s="159"/>
      <c r="G131" s="159"/>
      <c r="H131" s="159"/>
      <c r="I131" s="159"/>
      <c r="J131" s="225" t="str">
        <f>IF(櫃號表格!F80="","",櫃號表格!F80)</f>
        <v/>
      </c>
      <c r="K131" s="225"/>
      <c r="L131" s="225"/>
      <c r="M131" s="225"/>
      <c r="N131" s="225"/>
      <c r="O131" s="225"/>
      <c r="P131" s="159"/>
      <c r="Q131" s="226" t="str">
        <f>IF(櫃號表格!M80="","",櫃號表格!M80)</f>
        <v/>
      </c>
      <c r="R131" s="226"/>
      <c r="S131" s="226"/>
      <c r="T131" s="226"/>
      <c r="U131" s="226"/>
    </row>
    <row r="132" spans="1:24" ht="14" customHeight="1">
      <c r="A132" s="156"/>
      <c r="B132" s="156"/>
      <c r="C132" s="156"/>
      <c r="D132" s="156"/>
      <c r="E132" s="159" t="str">
        <f>IF(櫃號表格!A81="","",櫃號表格!A81)</f>
        <v/>
      </c>
      <c r="F132" s="159"/>
      <c r="G132" s="159"/>
      <c r="H132" s="159"/>
      <c r="I132" s="159"/>
      <c r="J132" s="225" t="str">
        <f>IF(櫃號表格!F81="","",櫃號表格!F81)</f>
        <v/>
      </c>
      <c r="K132" s="225"/>
      <c r="L132" s="225"/>
      <c r="M132" s="225"/>
      <c r="N132" s="225"/>
      <c r="O132" s="225"/>
      <c r="P132" s="159"/>
      <c r="Q132" s="226" t="str">
        <f>IF(櫃號表格!M81="","",櫃號表格!M81)</f>
        <v/>
      </c>
      <c r="R132" s="226"/>
      <c r="S132" s="226"/>
      <c r="T132" s="226"/>
      <c r="U132" s="226"/>
    </row>
    <row r="133" spans="1:24" ht="14" customHeight="1">
      <c r="A133" s="156"/>
      <c r="B133" s="156"/>
      <c r="C133" s="156"/>
      <c r="D133" s="156"/>
      <c r="E133" s="159" t="str">
        <f>IF(櫃號表格!A82="","",櫃號表格!A82)</f>
        <v/>
      </c>
      <c r="F133" s="159"/>
      <c r="G133" s="159"/>
      <c r="H133" s="159"/>
      <c r="I133" s="159"/>
      <c r="J133" s="225" t="str">
        <f>IF(櫃號表格!F82="","",櫃號表格!F82)</f>
        <v/>
      </c>
      <c r="K133" s="225"/>
      <c r="L133" s="225"/>
      <c r="M133" s="225"/>
      <c r="N133" s="225"/>
      <c r="O133" s="225"/>
      <c r="P133" s="159"/>
      <c r="Q133" s="226" t="str">
        <f>IF(櫃號表格!M82="","",櫃號表格!M82)</f>
        <v/>
      </c>
      <c r="R133" s="226"/>
      <c r="S133" s="226"/>
      <c r="T133" s="226"/>
      <c r="U133" s="226"/>
    </row>
    <row r="134" spans="1:24" ht="14" customHeight="1">
      <c r="A134" s="156"/>
      <c r="B134" s="156"/>
      <c r="C134" s="156"/>
      <c r="D134" s="156"/>
      <c r="E134" s="159" t="str">
        <f>IF(櫃號表格!A83="","",櫃號表格!A83)</f>
        <v/>
      </c>
      <c r="F134" s="159"/>
      <c r="G134" s="159"/>
      <c r="H134" s="159"/>
      <c r="I134" s="159"/>
      <c r="J134" s="225" t="str">
        <f>IF(櫃號表格!F83="","",櫃號表格!F83)</f>
        <v/>
      </c>
      <c r="K134" s="225"/>
      <c r="L134" s="225"/>
      <c r="M134" s="225"/>
      <c r="N134" s="225"/>
      <c r="O134" s="225"/>
      <c r="P134" s="159"/>
      <c r="Q134" s="226" t="str">
        <f>IF(櫃號表格!M83="","",櫃號表格!M83)</f>
        <v/>
      </c>
      <c r="R134" s="226"/>
      <c r="S134" s="226"/>
      <c r="T134" s="226"/>
      <c r="U134" s="226"/>
    </row>
    <row r="135" spans="1:24" ht="14" customHeight="1">
      <c r="A135" s="156"/>
      <c r="B135" s="156"/>
      <c r="C135" s="156"/>
      <c r="D135" s="156"/>
      <c r="E135" s="159" t="str">
        <f>IF(櫃號表格!A84="","",櫃號表格!A84)</f>
        <v/>
      </c>
      <c r="F135" s="159"/>
      <c r="G135" s="159"/>
      <c r="H135" s="159"/>
      <c r="I135" s="159"/>
      <c r="J135" s="225" t="str">
        <f>IF(櫃號表格!F84="","",櫃號表格!F84)</f>
        <v/>
      </c>
      <c r="K135" s="225"/>
      <c r="L135" s="225"/>
      <c r="M135" s="225"/>
      <c r="N135" s="225"/>
      <c r="O135" s="225"/>
      <c r="P135" s="159"/>
      <c r="Q135" s="226" t="str">
        <f>IF(櫃號表格!M84="","",櫃號表格!M84)</f>
        <v/>
      </c>
      <c r="R135" s="226"/>
      <c r="S135" s="226"/>
      <c r="T135" s="226"/>
      <c r="U135" s="226"/>
    </row>
    <row r="136" spans="1:24" ht="14" customHeight="1">
      <c r="A136" s="156"/>
      <c r="B136" s="156"/>
      <c r="C136" s="156"/>
      <c r="D136" s="156"/>
      <c r="E136" s="159" t="str">
        <f>IF(櫃號表格!A85="","",櫃號表格!A85)</f>
        <v/>
      </c>
      <c r="F136" s="159"/>
      <c r="G136" s="159"/>
      <c r="H136" s="159"/>
      <c r="I136" s="159"/>
      <c r="J136" s="225" t="str">
        <f>IF(櫃號表格!F85="","",櫃號表格!F85)</f>
        <v/>
      </c>
      <c r="K136" s="225"/>
      <c r="L136" s="225"/>
      <c r="M136" s="225"/>
      <c r="N136" s="225"/>
      <c r="O136" s="225"/>
      <c r="P136" s="159"/>
      <c r="Q136" s="226" t="str">
        <f>IF(櫃號表格!M85="","",櫃號表格!M85)</f>
        <v/>
      </c>
      <c r="R136" s="226"/>
      <c r="S136" s="226"/>
      <c r="T136" s="226"/>
      <c r="U136" s="226"/>
    </row>
    <row r="137" spans="1:24" ht="14" customHeight="1">
      <c r="A137" s="156"/>
      <c r="B137" s="156"/>
      <c r="C137" s="156"/>
      <c r="D137" s="156"/>
      <c r="E137" s="159" t="str">
        <f>IF(櫃號表格!A86="","",櫃號表格!A86)</f>
        <v/>
      </c>
      <c r="F137" s="159"/>
      <c r="G137" s="159"/>
      <c r="H137" s="159"/>
      <c r="I137" s="159"/>
      <c r="J137" s="225" t="str">
        <f>IF(櫃號表格!F86="","",櫃號表格!F86)</f>
        <v/>
      </c>
      <c r="K137" s="225"/>
      <c r="L137" s="225"/>
      <c r="M137" s="225"/>
      <c r="N137" s="225"/>
      <c r="O137" s="225"/>
      <c r="P137" s="159"/>
      <c r="Q137" s="226" t="str">
        <f>IF(櫃號表格!M86="","",櫃號表格!M86)</f>
        <v/>
      </c>
      <c r="R137" s="226"/>
      <c r="S137" s="226"/>
      <c r="T137" s="226"/>
      <c r="U137" s="226"/>
    </row>
    <row r="138" spans="1:24" ht="14" customHeight="1">
      <c r="A138" s="156"/>
      <c r="B138" s="156"/>
      <c r="C138" s="156"/>
      <c r="D138" s="156"/>
      <c r="E138" s="159" t="str">
        <f>IF(櫃號表格!A87="","",櫃號表格!A87)</f>
        <v/>
      </c>
      <c r="F138" s="159"/>
      <c r="G138" s="159"/>
      <c r="H138" s="159"/>
      <c r="I138" s="159"/>
      <c r="J138" s="225" t="str">
        <f>IF(櫃號表格!F87="","",櫃號表格!F87)</f>
        <v/>
      </c>
      <c r="K138" s="225"/>
      <c r="L138" s="225"/>
      <c r="M138" s="225"/>
      <c r="N138" s="225"/>
      <c r="O138" s="225"/>
      <c r="P138" s="159"/>
      <c r="Q138" s="226" t="str">
        <f>IF(櫃號表格!M87="","",櫃號表格!M87)</f>
        <v/>
      </c>
      <c r="R138" s="226"/>
      <c r="S138" s="226"/>
      <c r="T138" s="226"/>
      <c r="U138" s="226"/>
    </row>
    <row r="139" spans="1:24" ht="14" customHeight="1">
      <c r="A139" s="156"/>
      <c r="B139" s="156"/>
      <c r="C139" s="156"/>
      <c r="D139" s="156"/>
      <c r="E139" s="159" t="str">
        <f>IF(櫃號表格!A83="","",櫃號表格!A83)</f>
        <v/>
      </c>
      <c r="F139" s="159"/>
      <c r="G139" s="159"/>
      <c r="H139" s="159"/>
      <c r="I139" s="159"/>
      <c r="J139" s="225" t="str">
        <f>IF(櫃號表格!F83="","",櫃號表格!F83)</f>
        <v/>
      </c>
      <c r="K139" s="225"/>
      <c r="L139" s="225"/>
      <c r="M139" s="225"/>
      <c r="N139" s="225"/>
      <c r="O139" s="225"/>
      <c r="P139" s="159"/>
      <c r="Q139" s="226" t="str">
        <f>IF(櫃號表格!M83="","",櫃號表格!M83)</f>
        <v/>
      </c>
      <c r="R139" s="226"/>
      <c r="S139" s="226"/>
      <c r="T139" s="226"/>
      <c r="U139" s="226"/>
    </row>
    <row r="140" spans="1:24" ht="46.5" customHeight="1">
      <c r="A140" s="329" t="s">
        <v>104</v>
      </c>
      <c r="B140" s="329"/>
      <c r="C140" s="329"/>
      <c r="D140" s="329"/>
      <c r="E140" s="313" t="str">
        <f>裝櫃表格!C64</f>
        <v>Each coil is stowed in rows on the floorboards of each container, and wedges with wooden pieces against the containers' panels prevent the coils from shifting during the voyage.</v>
      </c>
      <c r="F140" s="313"/>
      <c r="G140" s="313"/>
      <c r="H140" s="313"/>
      <c r="I140" s="313"/>
      <c r="J140" s="313"/>
      <c r="K140" s="313"/>
      <c r="L140" s="313"/>
      <c r="M140" s="313"/>
      <c r="N140" s="313"/>
      <c r="O140" s="313"/>
      <c r="P140" s="313"/>
      <c r="Q140" s="313"/>
      <c r="R140" s="313"/>
      <c r="S140" s="313"/>
      <c r="T140" s="313"/>
      <c r="U140" s="313"/>
      <c r="V140" s="313"/>
      <c r="W140" s="313"/>
      <c r="X140" s="313"/>
    </row>
    <row r="141" spans="1:24" ht="14" customHeight="1">
      <c r="A141" s="152"/>
      <c r="B141" s="152"/>
      <c r="C141" s="152"/>
      <c r="D141" s="152"/>
      <c r="E141" s="152"/>
      <c r="F141" s="152"/>
      <c r="G141" s="152"/>
      <c r="H141" s="152"/>
      <c r="I141" s="152"/>
      <c r="J141" s="152"/>
      <c r="K141" s="152"/>
      <c r="L141" s="152"/>
      <c r="M141" s="152"/>
      <c r="N141" s="152"/>
      <c r="O141" s="152"/>
      <c r="P141" s="152"/>
      <c r="Q141" s="152"/>
      <c r="R141" s="152"/>
      <c r="S141" s="152"/>
      <c r="T141" s="152"/>
      <c r="U141" s="152"/>
      <c r="V141" s="152"/>
      <c r="W141" s="152"/>
      <c r="X141" s="152"/>
    </row>
    <row r="142" spans="1:24" ht="46" customHeight="1">
      <c r="A142" s="329" t="s">
        <v>298</v>
      </c>
      <c r="B142" s="329"/>
      <c r="C142" s="329"/>
      <c r="D142" s="329"/>
      <c r="E142" s="313" t="s">
        <v>299</v>
      </c>
      <c r="F142" s="313"/>
      <c r="G142" s="313"/>
      <c r="H142" s="313"/>
      <c r="I142" s="313"/>
      <c r="J142" s="313"/>
      <c r="K142" s="313"/>
      <c r="L142" s="313"/>
      <c r="M142" s="313"/>
      <c r="N142" s="313"/>
      <c r="O142" s="313"/>
      <c r="P142" s="313"/>
      <c r="Q142" s="313"/>
      <c r="R142" s="313"/>
      <c r="S142" s="313"/>
      <c r="T142" s="313"/>
      <c r="U142" s="313"/>
      <c r="V142" s="313"/>
      <c r="W142" s="313"/>
      <c r="X142" s="313"/>
    </row>
    <row r="143" spans="1:24" ht="14" customHeight="1">
      <c r="A143" s="152"/>
      <c r="B143" s="152"/>
      <c r="C143" s="152"/>
      <c r="D143" s="152"/>
      <c r="E143" s="152"/>
      <c r="F143" s="152"/>
      <c r="G143" s="152"/>
      <c r="H143" s="152"/>
      <c r="I143" s="152"/>
      <c r="J143" s="152"/>
      <c r="K143" s="152"/>
      <c r="L143" s="152"/>
      <c r="M143" s="152"/>
      <c r="N143" s="152"/>
      <c r="O143" s="152"/>
      <c r="P143" s="152"/>
      <c r="Q143" s="152"/>
      <c r="R143" s="152"/>
      <c r="S143" s="152"/>
      <c r="T143" s="152"/>
      <c r="U143" s="152"/>
      <c r="V143" s="152"/>
      <c r="W143" s="152"/>
      <c r="X143" s="152"/>
    </row>
    <row r="144" spans="1:24" ht="14" customHeight="1">
      <c r="A144" s="315" t="s">
        <v>300</v>
      </c>
      <c r="B144" s="315"/>
      <c r="C144" s="315"/>
      <c r="D144" s="315"/>
      <c r="E144" s="315"/>
      <c r="F144" s="315"/>
      <c r="G144" s="315"/>
      <c r="H144" s="315"/>
      <c r="I144" s="315"/>
      <c r="J144" s="315"/>
      <c r="K144" s="315"/>
      <c r="L144" s="315"/>
      <c r="M144" s="315"/>
      <c r="N144" s="315"/>
      <c r="O144" s="315"/>
      <c r="P144" s="315"/>
      <c r="Q144" s="315"/>
      <c r="R144" s="315"/>
      <c r="S144" s="315"/>
      <c r="T144" s="315"/>
      <c r="U144" s="315"/>
      <c r="V144" s="315"/>
      <c r="W144" s="315"/>
      <c r="X144" s="315"/>
    </row>
    <row r="145" spans="1:24" ht="14" customHeight="1">
      <c r="A145" s="152"/>
      <c r="B145" s="152"/>
      <c r="C145" s="152"/>
      <c r="D145" s="152"/>
      <c r="E145" s="152"/>
      <c r="F145" s="152"/>
      <c r="G145" s="152"/>
      <c r="H145" s="152"/>
      <c r="I145" s="152"/>
      <c r="J145" s="152"/>
      <c r="K145" s="152"/>
      <c r="L145" s="152"/>
      <c r="M145" s="152"/>
      <c r="N145" s="152"/>
      <c r="O145" s="152"/>
      <c r="P145" s="152"/>
      <c r="Q145" s="152"/>
      <c r="R145" s="152"/>
      <c r="S145" s="152"/>
      <c r="T145" s="152"/>
      <c r="U145" s="152"/>
      <c r="V145" s="152"/>
      <c r="W145" s="152"/>
      <c r="X145" s="152"/>
    </row>
    <row r="146" spans="1:24" ht="14" customHeight="1">
      <c r="A146" s="327" t="str">
        <f>"Kaohsiung, "&amp;TEXT(Z6,"mmmm dd, yyyy")</f>
        <v>Kaohsiung, March 20, 2024</v>
      </c>
      <c r="B146" s="327"/>
      <c r="C146" s="327"/>
      <c r="D146" s="327"/>
      <c r="E146" s="327"/>
      <c r="F146" s="327"/>
      <c r="G146" s="327"/>
      <c r="H146" s="327"/>
      <c r="I146" s="327"/>
      <c r="J146" s="327"/>
      <c r="K146" s="327"/>
      <c r="L146" s="334" t="s">
        <v>16</v>
      </c>
      <c r="M146" s="334"/>
      <c r="N146" s="334"/>
      <c r="O146" s="334"/>
      <c r="P146" s="334"/>
      <c r="Q146" s="334"/>
      <c r="R146" s="334"/>
      <c r="S146" s="334"/>
      <c r="T146" s="334"/>
      <c r="U146" s="334"/>
      <c r="V146" s="334"/>
      <c r="W146" s="334"/>
      <c r="X146" s="334"/>
    </row>
    <row r="147" spans="1:24" ht="14" customHeight="1">
      <c r="A147" s="156"/>
      <c r="B147" s="156"/>
      <c r="C147" s="156"/>
      <c r="D147" s="156"/>
    </row>
    <row r="148" spans="1:24" ht="14" customHeight="1">
      <c r="A148" s="156"/>
      <c r="B148" s="156"/>
      <c r="C148" s="156"/>
      <c r="D148" s="156"/>
    </row>
    <row r="149" spans="1:24" ht="14" customHeight="1">
      <c r="A149" s="156"/>
      <c r="B149" s="156"/>
      <c r="C149" s="156"/>
      <c r="D149" s="156"/>
    </row>
    <row r="150" spans="1:24" ht="12" customHeight="1">
      <c r="A150" s="156"/>
      <c r="B150" s="156"/>
      <c r="C150" s="156"/>
      <c r="D150" s="156"/>
    </row>
    <row r="151" spans="1:24" ht="12" customHeight="1">
      <c r="A151" s="156"/>
      <c r="B151" s="156"/>
      <c r="C151" s="156"/>
      <c r="D151" s="156"/>
    </row>
    <row r="152" spans="1:24" ht="12" customHeight="1">
      <c r="A152" s="156"/>
      <c r="B152" s="156"/>
      <c r="C152" s="156"/>
      <c r="D152" s="156"/>
    </row>
    <row r="153" spans="1:24" ht="12" customHeight="1">
      <c r="A153" s="156"/>
      <c r="B153" s="156"/>
      <c r="C153" s="156"/>
      <c r="D153" s="156"/>
    </row>
    <row r="154" spans="1:24" ht="12" customHeight="1">
      <c r="A154" s="156"/>
      <c r="B154" s="156"/>
      <c r="C154" s="156"/>
      <c r="D154" s="156"/>
    </row>
    <row r="155" spans="1:24" ht="12" customHeight="1">
      <c r="A155" s="156"/>
      <c r="B155" s="156"/>
      <c r="C155" s="156"/>
      <c r="D155" s="156"/>
    </row>
  </sheetData>
  <mergeCells count="155">
    <mergeCell ref="L146:X146"/>
    <mergeCell ref="A1:X1"/>
    <mergeCell ref="A8:X8"/>
    <mergeCell ref="A29:X29"/>
    <mergeCell ref="A39:X39"/>
    <mergeCell ref="A40:D43"/>
    <mergeCell ref="Q23:S23"/>
    <mergeCell ref="U23:V23"/>
    <mergeCell ref="W23:X23"/>
    <mergeCell ref="I24:L24"/>
    <mergeCell ref="M24:O24"/>
    <mergeCell ref="Q24:S24"/>
    <mergeCell ref="U24:V24"/>
    <mergeCell ref="W24:X24"/>
    <mergeCell ref="W28:X28"/>
    <mergeCell ref="E26:H26"/>
    <mergeCell ref="E25:H25"/>
    <mergeCell ref="I25:L25"/>
    <mergeCell ref="M25:O25"/>
    <mergeCell ref="Q25:S25"/>
    <mergeCell ref="U25:V25"/>
    <mergeCell ref="E18:H18"/>
    <mergeCell ref="E17:H17"/>
    <mergeCell ref="U18:V18"/>
    <mergeCell ref="W18:X18"/>
    <mergeCell ref="A30:D30"/>
    <mergeCell ref="A32:D32"/>
    <mergeCell ref="E30:X30"/>
    <mergeCell ref="I50:T50"/>
    <mergeCell ref="U50:X50"/>
    <mergeCell ref="E22:H22"/>
    <mergeCell ref="E21:H21"/>
    <mergeCell ref="I22:L22"/>
    <mergeCell ref="M22:O22"/>
    <mergeCell ref="Q22:S22"/>
    <mergeCell ref="U22:V22"/>
    <mergeCell ref="W22:X22"/>
    <mergeCell ref="E24:H24"/>
    <mergeCell ref="E23:H23"/>
    <mergeCell ref="I23:L23"/>
    <mergeCell ref="M23:O23"/>
    <mergeCell ref="A34:D34"/>
    <mergeCell ref="E34:X34"/>
    <mergeCell ref="A36:D36"/>
    <mergeCell ref="I48:T48"/>
    <mergeCell ref="U48:X48"/>
    <mergeCell ref="I49:T49"/>
    <mergeCell ref="A38:D38"/>
    <mergeCell ref="I19:L19"/>
    <mergeCell ref="M19:O19"/>
    <mergeCell ref="Q19:S19"/>
    <mergeCell ref="U19:V19"/>
    <mergeCell ref="W19:X19"/>
    <mergeCell ref="A140:D140"/>
    <mergeCell ref="E140:X140"/>
    <mergeCell ref="A46:D46"/>
    <mergeCell ref="A55:D55"/>
    <mergeCell ref="E55:X55"/>
    <mergeCell ref="E48:H48"/>
    <mergeCell ref="E49:H49"/>
    <mergeCell ref="E50:H50"/>
    <mergeCell ref="E51:H51"/>
    <mergeCell ref="U51:X51"/>
    <mergeCell ref="I52:T52"/>
    <mergeCell ref="U52:X52"/>
    <mergeCell ref="I53:T53"/>
    <mergeCell ref="U53:X53"/>
    <mergeCell ref="E52:H52"/>
    <mergeCell ref="E53:H53"/>
    <mergeCell ref="U49:X49"/>
    <mergeCell ref="Q27:S27"/>
    <mergeCell ref="U27:V27"/>
    <mergeCell ref="W27:X27"/>
    <mergeCell ref="E28:L28"/>
    <mergeCell ref="M28:O28"/>
    <mergeCell ref="Q28:S28"/>
    <mergeCell ref="U28:V28"/>
    <mergeCell ref="W25:X25"/>
    <mergeCell ref="I26:L26"/>
    <mergeCell ref="M26:O26"/>
    <mergeCell ref="Q26:S26"/>
    <mergeCell ref="U26:V26"/>
    <mergeCell ref="W26:X26"/>
    <mergeCell ref="A5:X5"/>
    <mergeCell ref="J2:X2"/>
    <mergeCell ref="U15:V15"/>
    <mergeCell ref="W15:X15"/>
    <mergeCell ref="I16:L16"/>
    <mergeCell ref="M16:O16"/>
    <mergeCell ref="Q16:S16"/>
    <mergeCell ref="U16:V16"/>
    <mergeCell ref="W16:X16"/>
    <mergeCell ref="E16:H16"/>
    <mergeCell ref="E15:H15"/>
    <mergeCell ref="E13:H13"/>
    <mergeCell ref="A7:X7"/>
    <mergeCell ref="E9:X9"/>
    <mergeCell ref="E12:H12"/>
    <mergeCell ref="E14:H14"/>
    <mergeCell ref="A2:I2"/>
    <mergeCell ref="I12:L12"/>
    <mergeCell ref="M12:P12"/>
    <mergeCell ref="Q12:T12"/>
    <mergeCell ref="U12:X12"/>
    <mergeCell ref="A9:D9"/>
    <mergeCell ref="A10:D10"/>
    <mergeCell ref="A11:D11"/>
    <mergeCell ref="A146:K146"/>
    <mergeCell ref="A142:D142"/>
    <mergeCell ref="E142:X142"/>
    <mergeCell ref="A45:D45"/>
    <mergeCell ref="I51:T51"/>
    <mergeCell ref="I15:L15"/>
    <mergeCell ref="M15:O15"/>
    <mergeCell ref="Q15:S15"/>
    <mergeCell ref="I20:L20"/>
    <mergeCell ref="M20:O20"/>
    <mergeCell ref="Q20:S20"/>
    <mergeCell ref="U20:V20"/>
    <mergeCell ref="W20:X20"/>
    <mergeCell ref="I21:L21"/>
    <mergeCell ref="M21:O21"/>
    <mergeCell ref="Q21:S21"/>
    <mergeCell ref="U21:V21"/>
    <mergeCell ref="W21:X21"/>
    <mergeCell ref="I17:L17"/>
    <mergeCell ref="M17:O17"/>
    <mergeCell ref="Q17:S17"/>
    <mergeCell ref="U17:V17"/>
    <mergeCell ref="W17:X17"/>
    <mergeCell ref="I18:L18"/>
    <mergeCell ref="E10:X11"/>
    <mergeCell ref="E36:X36"/>
    <mergeCell ref="E38:X38"/>
    <mergeCell ref="E45:X45"/>
    <mergeCell ref="E46:X46"/>
    <mergeCell ref="A144:X144"/>
    <mergeCell ref="M18:O18"/>
    <mergeCell ref="Q18:S18"/>
    <mergeCell ref="I13:L13"/>
    <mergeCell ref="M13:O13"/>
    <mergeCell ref="Q13:S13"/>
    <mergeCell ref="U13:V13"/>
    <mergeCell ref="W13:X13"/>
    <mergeCell ref="I14:L14"/>
    <mergeCell ref="M14:O14"/>
    <mergeCell ref="Q14:S14"/>
    <mergeCell ref="U14:V14"/>
    <mergeCell ref="W14:X14"/>
    <mergeCell ref="E32:X32"/>
    <mergeCell ref="E20:H20"/>
    <mergeCell ref="E19:H19"/>
    <mergeCell ref="E27:H27"/>
    <mergeCell ref="I27:L27"/>
    <mergeCell ref="M27:O27"/>
  </mergeCells>
  <phoneticPr fontId="2" type="noConversion"/>
  <printOptions horizontalCentered="1"/>
  <pageMargins left="0.5" right="0.5" top="2.2480314960629921" bottom="1.4173228346456694" header="0.31496062992125984" footer="0.31496062992125984"/>
  <pageSetup paperSize="9" orientation="portrait" r:id="rId1"/>
  <rowBreaks count="1" manualBreakCount="1">
    <brk id="38"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工作表5.HideEmptyRows">
                <anchor moveWithCells="1" sizeWithCells="1">
                  <from>
                    <xdr:col>25</xdr:col>
                    <xdr:colOff>95250</xdr:colOff>
                    <xdr:row>0</xdr:row>
                    <xdr:rowOff>127000</xdr:rowOff>
                  </from>
                  <to>
                    <xdr:col>25</xdr:col>
                    <xdr:colOff>1181100</xdr:colOff>
                    <xdr:row>2</xdr:row>
                    <xdr:rowOff>127000</xdr:rowOff>
                  </to>
                </anchor>
              </controlPr>
            </control>
          </mc:Choice>
        </mc:AlternateContent>
        <mc:AlternateContent xmlns:mc="http://schemas.openxmlformats.org/markup-compatibility/2006">
          <mc:Choice Requires="x14">
            <control shapeId="7169" r:id="rId5" name="Button 1">
              <controlPr defaultSize="0" print="0" autoFill="0" autoPict="0" macro="[0]!CopyToWordWithMargins">
                <anchor moveWithCells="1" sizeWithCells="1">
                  <from>
                    <xdr:col>26</xdr:col>
                    <xdr:colOff>107950</xdr:colOff>
                    <xdr:row>3</xdr:row>
                    <xdr:rowOff>50800</xdr:rowOff>
                  </from>
                  <to>
                    <xdr:col>29</xdr:col>
                    <xdr:colOff>368300</xdr:colOff>
                    <xdr:row>6</xdr:row>
                    <xdr:rowOff>6350</xdr:rowOff>
                  </to>
                </anchor>
              </controlPr>
            </control>
          </mc:Choice>
        </mc:AlternateContent>
        <mc:AlternateContent xmlns:mc="http://schemas.openxmlformats.org/markup-compatibility/2006">
          <mc:Choice Requires="x14">
            <control shapeId="7174" r:id="rId6" name="Button 6">
              <controlPr defaultSize="0" print="0" autoFill="0" autoPict="0" macro="[0]!PrintToPDF">
                <anchor moveWithCells="1" sizeWithCells="1">
                  <from>
                    <xdr:col>26</xdr:col>
                    <xdr:colOff>101600</xdr:colOff>
                    <xdr:row>6</xdr:row>
                    <xdr:rowOff>488950</xdr:rowOff>
                  </from>
                  <to>
                    <xdr:col>29</xdr:col>
                    <xdr:colOff>368300</xdr:colOff>
                    <xdr:row>9</xdr:row>
                    <xdr:rowOff>82550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AL96"/>
  <sheetViews>
    <sheetView view="pageBreakPreview" topLeftCell="A13" zoomScaleNormal="100" workbookViewId="0">
      <selection activeCell="AH25" sqref="AH25"/>
    </sheetView>
  </sheetViews>
  <sheetFormatPr defaultColWidth="9" defaultRowHeight="15.5"/>
  <cols>
    <col min="1" max="63" width="3.6328125" style="17" customWidth="1"/>
    <col min="64" max="16384" width="9" style="17"/>
  </cols>
  <sheetData>
    <row r="1" spans="1:27" ht="18" customHeight="1"/>
    <row r="2" spans="1:27" ht="18" customHeight="1">
      <c r="E2" s="18"/>
      <c r="F2" s="19"/>
    </row>
    <row r="3" spans="1:27" ht="18" customHeight="1">
      <c r="E3" s="18"/>
      <c r="F3" s="18"/>
    </row>
    <row r="4" spans="1:27" ht="18" customHeight="1"/>
    <row r="5" spans="1:27" ht="18" customHeight="1">
      <c r="A5" s="20" t="s">
        <v>8</v>
      </c>
      <c r="B5" s="20"/>
      <c r="C5" s="20"/>
      <c r="D5" s="20"/>
      <c r="E5" s="20"/>
      <c r="F5" s="20"/>
      <c r="T5" s="2"/>
      <c r="U5" s="2"/>
      <c r="V5" s="2"/>
      <c r="W5" s="12" t="s">
        <v>0</v>
      </c>
      <c r="X5" s="10" t="e">
        <f>#REF!</f>
        <v>#REF!</v>
      </c>
      <c r="Y5" s="10"/>
      <c r="Z5" s="10"/>
      <c r="AA5" s="21"/>
    </row>
    <row r="6" spans="1:27" ht="18" customHeight="1">
      <c r="AA6" s="13" t="s">
        <v>5</v>
      </c>
    </row>
    <row r="7" spans="1:27" s="70" customFormat="1" ht="18" customHeight="1">
      <c r="A7" s="3" t="e">
        <f>#REF!</f>
        <v>#REF!</v>
      </c>
      <c r="B7" s="3"/>
      <c r="C7" s="3"/>
      <c r="D7" s="3"/>
      <c r="E7" s="8"/>
      <c r="F7" s="4" t="s">
        <v>6</v>
      </c>
      <c r="G7" s="5" t="e">
        <f>#REF!</f>
        <v>#REF!</v>
      </c>
      <c r="H7" s="1"/>
      <c r="I7" s="8"/>
      <c r="J7" s="14"/>
      <c r="K7" s="14"/>
      <c r="L7" s="14"/>
      <c r="M7" s="14"/>
      <c r="N7" s="14"/>
      <c r="O7" s="14"/>
      <c r="P7" s="14"/>
      <c r="Q7" s="14"/>
      <c r="R7" s="14"/>
      <c r="S7" s="14"/>
      <c r="T7" s="14"/>
      <c r="U7" s="14"/>
      <c r="V7" s="14"/>
    </row>
    <row r="8" spans="1:27" s="70" customFormat="1" ht="18" customHeight="1">
      <c r="A8" s="3" t="e">
        <f>#REF!</f>
        <v>#REF!</v>
      </c>
      <c r="B8" s="5"/>
      <c r="C8" s="5"/>
      <c r="D8" s="5"/>
      <c r="E8" s="8"/>
      <c r="F8" s="4" t="s">
        <v>6</v>
      </c>
      <c r="G8" s="5" t="e">
        <f>#REF!</f>
        <v>#REF!</v>
      </c>
      <c r="H8" s="1"/>
      <c r="I8" s="8"/>
    </row>
    <row r="9" spans="1:27" s="70" customFormat="1" ht="18" customHeight="1">
      <c r="A9" s="3" t="e">
        <f>#REF!</f>
        <v>#REF!</v>
      </c>
      <c r="B9" s="3"/>
      <c r="C9" s="3"/>
      <c r="D9" s="3"/>
      <c r="E9" s="8"/>
      <c r="F9" s="4" t="s">
        <v>6</v>
      </c>
      <c r="G9" s="5" t="e">
        <f>#REF!</f>
        <v>#REF!</v>
      </c>
      <c r="H9" s="1"/>
      <c r="I9" s="8"/>
    </row>
    <row r="10" spans="1:27" s="70" customFormat="1" ht="18" hidden="1" customHeight="1">
      <c r="A10" s="3" t="e">
        <f>#REF!</f>
        <v>#REF!</v>
      </c>
      <c r="B10" s="3"/>
      <c r="C10" s="3"/>
      <c r="D10" s="3"/>
      <c r="E10" s="8"/>
      <c r="F10" s="4" t="s">
        <v>6</v>
      </c>
      <c r="G10" s="5" t="e">
        <f>#REF!</f>
        <v>#REF!</v>
      </c>
      <c r="H10" s="1"/>
      <c r="I10" s="8"/>
    </row>
    <row r="11" spans="1:27" s="70" customFormat="1" ht="18" customHeight="1">
      <c r="A11" s="3" t="e">
        <f>#REF!</f>
        <v>#REF!</v>
      </c>
      <c r="B11" s="3"/>
      <c r="C11" s="3"/>
      <c r="D11" s="3"/>
      <c r="E11" s="8"/>
      <c r="F11" s="4" t="s">
        <v>6</v>
      </c>
      <c r="G11" s="5" t="e">
        <f>#REF!</f>
        <v>#REF!</v>
      </c>
      <c r="H11" s="1"/>
      <c r="I11" s="8"/>
    </row>
    <row r="12" spans="1:27" s="70" customFormat="1" ht="18" customHeight="1">
      <c r="A12" s="3" t="e">
        <f>#REF!</f>
        <v>#REF!</v>
      </c>
      <c r="B12" s="3"/>
      <c r="C12" s="3"/>
      <c r="D12" s="3"/>
      <c r="E12" s="8"/>
      <c r="F12" s="4" t="s">
        <v>6</v>
      </c>
      <c r="G12" s="5" t="e">
        <f>#REF!</f>
        <v>#REF!</v>
      </c>
      <c r="H12" s="1"/>
      <c r="I12" s="8"/>
    </row>
    <row r="13" spans="1:27" s="70" customFormat="1" ht="18" customHeight="1">
      <c r="A13" s="3" t="e">
        <f>#REF!</f>
        <v>#REF!</v>
      </c>
      <c r="B13" s="3"/>
      <c r="C13" s="3"/>
      <c r="D13" s="3"/>
      <c r="E13" s="8"/>
      <c r="F13" s="4" t="s">
        <v>6</v>
      </c>
      <c r="G13" s="5" t="e">
        <f>#REF!</f>
        <v>#REF!</v>
      </c>
      <c r="H13" s="1"/>
      <c r="I13" s="8"/>
    </row>
    <row r="14" spans="1:27" s="70" customFormat="1" ht="18" hidden="1" customHeight="1">
      <c r="A14" s="3" t="e">
        <f>#REF!</f>
        <v>#REF!</v>
      </c>
      <c r="B14" s="3"/>
      <c r="C14" s="3"/>
      <c r="D14" s="3"/>
      <c r="E14" s="8"/>
      <c r="F14" s="4" t="s">
        <v>6</v>
      </c>
      <c r="G14" s="5" t="e">
        <f>#REF!</f>
        <v>#REF!</v>
      </c>
      <c r="H14" s="1"/>
      <c r="I14" s="8"/>
    </row>
    <row r="15" spans="1:27" s="70" customFormat="1" ht="18" hidden="1" customHeight="1">
      <c r="A15" s="3" t="e">
        <f>#REF!</f>
        <v>#REF!</v>
      </c>
      <c r="B15" s="3"/>
      <c r="C15" s="3"/>
      <c r="D15" s="3"/>
      <c r="E15" s="8"/>
      <c r="F15" s="4" t="s">
        <v>6</v>
      </c>
      <c r="G15" s="5" t="e">
        <f>#REF!</f>
        <v>#REF!</v>
      </c>
      <c r="H15" s="1"/>
      <c r="I15" s="8"/>
    </row>
    <row r="16" spans="1:27" s="70" customFormat="1" ht="18" hidden="1" customHeight="1">
      <c r="A16" s="3" t="e">
        <f>#REF!</f>
        <v>#REF!</v>
      </c>
      <c r="B16" s="3"/>
      <c r="C16" s="3"/>
      <c r="D16" s="3"/>
      <c r="E16" s="8"/>
      <c r="F16" s="4" t="s">
        <v>6</v>
      </c>
      <c r="G16" s="5" t="e">
        <f>#REF!</f>
        <v>#REF!</v>
      </c>
      <c r="H16" s="71"/>
      <c r="I16" s="15"/>
      <c r="Y16" s="14"/>
    </row>
    <row r="17" spans="1:31" s="70" customFormat="1" ht="18" customHeight="1" thickBot="1">
      <c r="A17" s="3"/>
      <c r="B17" s="3"/>
      <c r="C17" s="3"/>
      <c r="D17" s="3"/>
      <c r="E17" s="3"/>
      <c r="F17" s="3"/>
      <c r="G17" s="3"/>
      <c r="H17" s="71"/>
      <c r="I17" s="15"/>
      <c r="V17" s="22"/>
      <c r="AA17" s="13" t="s">
        <v>5</v>
      </c>
    </row>
    <row r="18" spans="1:31" s="70" customFormat="1" ht="18" customHeight="1" thickTop="1">
      <c r="A18" s="383" t="s">
        <v>17</v>
      </c>
      <c r="B18" s="376"/>
      <c r="C18" s="376"/>
      <c r="D18" s="376"/>
      <c r="E18" s="376"/>
      <c r="F18" s="376"/>
      <c r="G18" s="376"/>
      <c r="H18" s="376"/>
      <c r="I18" s="376"/>
      <c r="J18" s="376"/>
      <c r="K18" s="376"/>
      <c r="L18" s="376"/>
      <c r="M18" s="376"/>
      <c r="N18" s="376"/>
      <c r="O18" s="376"/>
      <c r="P18" s="376"/>
      <c r="Q18" s="376"/>
      <c r="R18" s="375" t="s">
        <v>18</v>
      </c>
      <c r="S18" s="376"/>
      <c r="T18" s="376"/>
      <c r="U18" s="376"/>
      <c r="V18" s="376"/>
      <c r="W18" s="381"/>
      <c r="X18" s="375" t="s">
        <v>1</v>
      </c>
      <c r="Y18" s="376"/>
      <c r="Z18" s="377"/>
      <c r="AB18" s="23"/>
      <c r="AC18" s="23"/>
      <c r="AD18" s="23"/>
    </row>
    <row r="19" spans="1:31" s="70" customFormat="1" ht="18" customHeight="1">
      <c r="A19" s="384"/>
      <c r="B19" s="385"/>
      <c r="C19" s="385"/>
      <c r="D19" s="385"/>
      <c r="E19" s="385"/>
      <c r="F19" s="385"/>
      <c r="G19" s="385"/>
      <c r="H19" s="385"/>
      <c r="I19" s="385"/>
      <c r="J19" s="385"/>
      <c r="K19" s="385"/>
      <c r="L19" s="385"/>
      <c r="M19" s="385"/>
      <c r="N19" s="385"/>
      <c r="O19" s="385"/>
      <c r="P19" s="385"/>
      <c r="Q19" s="385"/>
      <c r="R19" s="378" t="s">
        <v>14</v>
      </c>
      <c r="S19" s="379"/>
      <c r="T19" s="379"/>
      <c r="U19" s="379"/>
      <c r="V19" s="379"/>
      <c r="W19" s="382"/>
      <c r="X19" s="378" t="s">
        <v>2</v>
      </c>
      <c r="Y19" s="379"/>
      <c r="Z19" s="380"/>
      <c r="AB19" s="23"/>
      <c r="AC19" s="23"/>
      <c r="AD19" s="23"/>
    </row>
    <row r="20" spans="1:31" s="70" customFormat="1" ht="18" customHeight="1">
      <c r="A20" s="384"/>
      <c r="B20" s="385"/>
      <c r="C20" s="385"/>
      <c r="D20" s="385"/>
      <c r="E20" s="385"/>
      <c r="F20" s="385"/>
      <c r="G20" s="385"/>
      <c r="H20" s="385"/>
      <c r="I20" s="385"/>
      <c r="J20" s="385"/>
      <c r="K20" s="385"/>
      <c r="L20" s="385"/>
      <c r="M20" s="385"/>
      <c r="N20" s="385"/>
      <c r="O20" s="385"/>
      <c r="P20" s="385"/>
      <c r="Q20" s="385"/>
      <c r="R20" s="373" t="s">
        <v>3</v>
      </c>
      <c r="S20" s="371"/>
      <c r="T20" s="371"/>
      <c r="U20" s="373" t="s">
        <v>9</v>
      </c>
      <c r="V20" s="371"/>
      <c r="W20" s="374"/>
      <c r="X20" s="371" t="s">
        <v>4</v>
      </c>
      <c r="Y20" s="371"/>
      <c r="Z20" s="372"/>
      <c r="AB20" s="24"/>
      <c r="AC20" s="24"/>
      <c r="AD20" s="23"/>
    </row>
    <row r="21" spans="1:31" s="70" customFormat="1" ht="30" customHeight="1">
      <c r="A21" s="358" t="str">
        <f>'Origin-SGS'!A5:Z5</f>
        <v>CERTIFICATE OF ORIGIN</v>
      </c>
      <c r="B21" s="359"/>
      <c r="C21" s="359"/>
      <c r="D21" s="359"/>
      <c r="E21" s="359"/>
      <c r="F21" s="359"/>
      <c r="G21" s="359"/>
      <c r="H21" s="359"/>
      <c r="I21" s="359"/>
      <c r="J21" s="359"/>
      <c r="K21" s="359"/>
      <c r="L21" s="359"/>
      <c r="M21" s="359"/>
      <c r="N21" s="359"/>
      <c r="O21" s="359"/>
      <c r="P21" s="359"/>
      <c r="Q21" s="360"/>
      <c r="R21" s="351">
        <v>0</v>
      </c>
      <c r="S21" s="352"/>
      <c r="T21" s="353"/>
      <c r="U21" s="351">
        <v>1</v>
      </c>
      <c r="V21" s="352"/>
      <c r="W21" s="353"/>
      <c r="X21" s="351">
        <v>1</v>
      </c>
      <c r="Y21" s="352"/>
      <c r="Z21" s="357"/>
      <c r="AA21" s="25"/>
      <c r="AB21" s="24"/>
      <c r="AC21" s="24"/>
      <c r="AD21" s="23"/>
    </row>
    <row r="22" spans="1:31" s="70" customFormat="1" ht="30" customHeight="1">
      <c r="A22" s="358" t="e">
        <f>#REF!</f>
        <v>#REF!</v>
      </c>
      <c r="B22" s="359"/>
      <c r="C22" s="359"/>
      <c r="D22" s="359"/>
      <c r="E22" s="359"/>
      <c r="F22" s="359"/>
      <c r="G22" s="359"/>
      <c r="H22" s="359"/>
      <c r="I22" s="359"/>
      <c r="J22" s="359"/>
      <c r="K22" s="359"/>
      <c r="L22" s="359"/>
      <c r="M22" s="359"/>
      <c r="N22" s="359"/>
      <c r="O22" s="359"/>
      <c r="P22" s="359"/>
      <c r="Q22" s="360"/>
      <c r="R22" s="351">
        <v>0</v>
      </c>
      <c r="S22" s="352"/>
      <c r="T22" s="353"/>
      <c r="U22" s="351">
        <v>1</v>
      </c>
      <c r="V22" s="352"/>
      <c r="W22" s="353"/>
      <c r="X22" s="351">
        <v>1</v>
      </c>
      <c r="Y22" s="352"/>
      <c r="Z22" s="357"/>
      <c r="AA22" s="25"/>
      <c r="AB22" s="24"/>
      <c r="AC22" s="24"/>
      <c r="AD22" s="23"/>
    </row>
    <row r="23" spans="1:31" s="70" customFormat="1" ht="30" customHeight="1">
      <c r="A23" s="368" t="e">
        <f>#REF!</f>
        <v>#REF!</v>
      </c>
      <c r="B23" s="369"/>
      <c r="C23" s="369"/>
      <c r="D23" s="369"/>
      <c r="E23" s="369"/>
      <c r="F23" s="369"/>
      <c r="G23" s="369"/>
      <c r="H23" s="369"/>
      <c r="I23" s="369"/>
      <c r="J23" s="369"/>
      <c r="K23" s="369"/>
      <c r="L23" s="369"/>
      <c r="M23" s="369"/>
      <c r="N23" s="369"/>
      <c r="O23" s="369"/>
      <c r="P23" s="369"/>
      <c r="Q23" s="370"/>
      <c r="R23" s="351">
        <v>0</v>
      </c>
      <c r="S23" s="352"/>
      <c r="T23" s="353"/>
      <c r="U23" s="351">
        <v>1</v>
      </c>
      <c r="V23" s="352"/>
      <c r="W23" s="353"/>
      <c r="X23" s="351">
        <v>1</v>
      </c>
      <c r="Y23" s="352"/>
      <c r="Z23" s="357"/>
      <c r="AA23" s="26" t="s">
        <v>7</v>
      </c>
      <c r="AB23" s="23"/>
      <c r="AC23" s="23"/>
      <c r="AD23" s="23"/>
    </row>
    <row r="24" spans="1:31" s="70" customFormat="1" ht="30" customHeight="1">
      <c r="A24" s="358" t="e">
        <f>#REF!</f>
        <v>#REF!</v>
      </c>
      <c r="B24" s="359"/>
      <c r="C24" s="359"/>
      <c r="D24" s="359"/>
      <c r="E24" s="359"/>
      <c r="F24" s="359"/>
      <c r="G24" s="359"/>
      <c r="H24" s="359"/>
      <c r="I24" s="359"/>
      <c r="J24" s="359"/>
      <c r="K24" s="359"/>
      <c r="L24" s="359"/>
      <c r="M24" s="359"/>
      <c r="N24" s="359"/>
      <c r="O24" s="359"/>
      <c r="P24" s="359"/>
      <c r="Q24" s="360"/>
      <c r="R24" s="351">
        <v>0</v>
      </c>
      <c r="S24" s="352"/>
      <c r="T24" s="353"/>
      <c r="U24" s="351">
        <v>1</v>
      </c>
      <c r="V24" s="352"/>
      <c r="W24" s="353"/>
      <c r="X24" s="351">
        <v>1</v>
      </c>
      <c r="Y24" s="352"/>
      <c r="Z24" s="357"/>
      <c r="AA24" s="25"/>
      <c r="AB24" s="23"/>
      <c r="AC24" s="23"/>
      <c r="AD24" s="23"/>
      <c r="AE24" s="25"/>
    </row>
    <row r="25" spans="1:31" s="70" customFormat="1" ht="30" customHeight="1">
      <c r="A25" s="361" t="e">
        <f>#REF!</f>
        <v>#REF!</v>
      </c>
      <c r="B25" s="362"/>
      <c r="C25" s="362"/>
      <c r="D25" s="362"/>
      <c r="E25" s="362"/>
      <c r="F25" s="362"/>
      <c r="G25" s="362"/>
      <c r="H25" s="362"/>
      <c r="I25" s="362"/>
      <c r="J25" s="362"/>
      <c r="K25" s="362"/>
      <c r="L25" s="362"/>
      <c r="M25" s="362"/>
      <c r="N25" s="362"/>
      <c r="O25" s="362"/>
      <c r="P25" s="362"/>
      <c r="Q25" s="363"/>
      <c r="R25" s="373">
        <v>0</v>
      </c>
      <c r="S25" s="371"/>
      <c r="T25" s="374"/>
      <c r="U25" s="351">
        <v>1</v>
      </c>
      <c r="V25" s="352"/>
      <c r="W25" s="353"/>
      <c r="X25" s="351">
        <v>1</v>
      </c>
      <c r="Y25" s="352"/>
      <c r="Z25" s="357"/>
      <c r="AA25" s="25"/>
      <c r="AE25" s="25"/>
    </row>
    <row r="26" spans="1:31" s="70" customFormat="1" ht="30" customHeight="1">
      <c r="A26" s="361" t="e">
        <f>#REF!</f>
        <v>#REF!</v>
      </c>
      <c r="B26" s="362"/>
      <c r="C26" s="362"/>
      <c r="D26" s="362"/>
      <c r="E26" s="362"/>
      <c r="F26" s="362"/>
      <c r="G26" s="362"/>
      <c r="H26" s="362"/>
      <c r="I26" s="362"/>
      <c r="J26" s="362"/>
      <c r="K26" s="362"/>
      <c r="L26" s="362"/>
      <c r="M26" s="362"/>
      <c r="N26" s="362"/>
      <c r="O26" s="362"/>
      <c r="P26" s="362"/>
      <c r="Q26" s="363"/>
      <c r="R26" s="351">
        <v>0</v>
      </c>
      <c r="S26" s="352"/>
      <c r="T26" s="353"/>
      <c r="U26" s="351">
        <v>1</v>
      </c>
      <c r="V26" s="352"/>
      <c r="W26" s="353"/>
      <c r="X26" s="351">
        <v>1</v>
      </c>
      <c r="Y26" s="352"/>
      <c r="Z26" s="357"/>
      <c r="AA26" s="25"/>
      <c r="AE26" s="27"/>
    </row>
    <row r="27" spans="1:31" s="70" customFormat="1" ht="30" customHeight="1">
      <c r="A27" s="358" t="e">
        <f>#REF!</f>
        <v>#REF!</v>
      </c>
      <c r="B27" s="359"/>
      <c r="C27" s="359"/>
      <c r="D27" s="359"/>
      <c r="E27" s="359"/>
      <c r="F27" s="359"/>
      <c r="G27" s="359"/>
      <c r="H27" s="359"/>
      <c r="I27" s="359"/>
      <c r="J27" s="359"/>
      <c r="K27" s="359"/>
      <c r="L27" s="359"/>
      <c r="M27" s="359"/>
      <c r="N27" s="359"/>
      <c r="O27" s="359"/>
      <c r="P27" s="359"/>
      <c r="Q27" s="360"/>
      <c r="R27" s="351">
        <v>0</v>
      </c>
      <c r="S27" s="352"/>
      <c r="T27" s="353"/>
      <c r="U27" s="351">
        <v>1</v>
      </c>
      <c r="V27" s="352"/>
      <c r="W27" s="353"/>
      <c r="X27" s="351">
        <v>1</v>
      </c>
      <c r="Y27" s="352"/>
      <c r="Z27" s="357"/>
      <c r="AA27" s="25"/>
      <c r="AE27" s="25"/>
    </row>
    <row r="28" spans="1:31" s="70" customFormat="1" ht="30" customHeight="1" thickBot="1">
      <c r="A28" s="365" t="str">
        <f>A5</f>
        <v>MASTER RECEIPT OF DOCUMENTS</v>
      </c>
      <c r="B28" s="366"/>
      <c r="C28" s="366"/>
      <c r="D28" s="366"/>
      <c r="E28" s="366"/>
      <c r="F28" s="366"/>
      <c r="G28" s="366"/>
      <c r="H28" s="366"/>
      <c r="I28" s="366"/>
      <c r="J28" s="366"/>
      <c r="K28" s="366"/>
      <c r="L28" s="366"/>
      <c r="M28" s="366"/>
      <c r="N28" s="366"/>
      <c r="O28" s="366"/>
      <c r="P28" s="366"/>
      <c r="Q28" s="367"/>
      <c r="R28" s="354">
        <v>0</v>
      </c>
      <c r="S28" s="355"/>
      <c r="T28" s="356"/>
      <c r="U28" s="354">
        <v>1</v>
      </c>
      <c r="V28" s="355"/>
      <c r="W28" s="356"/>
      <c r="X28" s="354">
        <v>1</v>
      </c>
      <c r="Y28" s="355"/>
      <c r="Z28" s="364"/>
      <c r="AA28" s="25"/>
      <c r="AE28" s="25"/>
    </row>
    <row r="29" spans="1:31" s="70" customFormat="1" ht="18" customHeight="1" thickTop="1">
      <c r="AA29" s="14"/>
    </row>
    <row r="30" spans="1:31" s="70" customFormat="1" ht="18" customHeight="1"/>
    <row r="31" spans="1:31" s="70" customFormat="1" ht="18" customHeight="1"/>
    <row r="32" spans="1:31" s="70" customFormat="1" ht="18" customHeight="1"/>
    <row r="33" spans="1:38" s="70" customFormat="1" ht="18" customHeight="1"/>
    <row r="34" spans="1:38" s="70" customFormat="1" ht="18" customHeight="1"/>
    <row r="35" spans="1:38" s="70" customFormat="1" ht="18" customHeight="1"/>
    <row r="36" spans="1:38" s="23" customFormat="1" ht="18" customHeight="1"/>
    <row r="37" spans="1:38" s="70" customFormat="1" ht="18" customHeight="1"/>
    <row r="38" spans="1:38" s="70" customFormat="1" ht="18" customHeight="1">
      <c r="A38" s="28"/>
      <c r="B38" s="28"/>
      <c r="C38" s="28"/>
      <c r="D38" s="28"/>
      <c r="E38" s="28"/>
      <c r="F38" s="28"/>
      <c r="G38" s="23"/>
      <c r="U38" s="28"/>
      <c r="V38" s="29"/>
      <c r="W38" s="29"/>
      <c r="X38" s="29"/>
      <c r="Y38" s="29"/>
      <c r="Z38" s="29"/>
    </row>
    <row r="39" spans="1:38" ht="18" customHeight="1">
      <c r="A39" s="30" t="e">
        <f>+"Master of "&amp;G7&amp;""</f>
        <v>#REF!</v>
      </c>
      <c r="B39" s="30"/>
      <c r="C39" s="30"/>
      <c r="D39" s="30"/>
      <c r="G39" s="31"/>
      <c r="H39" s="14"/>
      <c r="I39" s="14"/>
      <c r="J39" s="14"/>
      <c r="K39" s="14"/>
      <c r="L39" s="14"/>
      <c r="M39" s="14"/>
      <c r="N39" s="14"/>
      <c r="O39" s="14"/>
      <c r="P39" s="14"/>
      <c r="U39" s="9" t="s">
        <v>15</v>
      </c>
    </row>
    <row r="40" spans="1:38" ht="18" customHeight="1">
      <c r="A40" s="32"/>
      <c r="B40" s="32"/>
      <c r="C40" s="32"/>
      <c r="D40" s="72"/>
      <c r="E40" s="32"/>
      <c r="F40" s="32"/>
      <c r="G40" s="32"/>
      <c r="H40" s="32"/>
      <c r="I40" s="32"/>
      <c r="J40" s="32"/>
      <c r="K40" s="32"/>
      <c r="L40" s="32"/>
      <c r="M40" s="32"/>
      <c r="N40" s="32"/>
      <c r="O40" s="32"/>
      <c r="P40" s="32"/>
      <c r="Q40" s="32"/>
      <c r="R40" s="32"/>
      <c r="S40" s="32"/>
      <c r="T40" s="32"/>
      <c r="U40" s="32"/>
      <c r="V40" s="32"/>
      <c r="W40" s="32"/>
      <c r="X40" s="32"/>
      <c r="Y40" s="32"/>
      <c r="Z40" s="32"/>
      <c r="AA40" s="32"/>
      <c r="AB40" s="33"/>
      <c r="AC40" s="33"/>
      <c r="AD40" s="33"/>
      <c r="AE40" s="33"/>
      <c r="AF40" s="33"/>
      <c r="AG40" s="33"/>
      <c r="AH40" s="33"/>
      <c r="AI40" s="33"/>
      <c r="AJ40" s="33"/>
      <c r="AK40" s="33"/>
      <c r="AL40" s="33"/>
    </row>
    <row r="41" spans="1:38" ht="15" customHeight="1"/>
    <row r="42" spans="1:38" ht="15" customHeight="1"/>
    <row r="43" spans="1:38" ht="15" customHeight="1"/>
    <row r="44" spans="1:38" ht="15" customHeight="1"/>
    <row r="45" spans="1:38" ht="15" customHeight="1"/>
    <row r="46" spans="1:38" ht="15" customHeight="1"/>
    <row r="47" spans="1:38" ht="15" customHeight="1"/>
    <row r="48" spans="1:38" ht="15" customHeight="1"/>
    <row r="49" ht="15" customHeight="1"/>
    <row r="50" ht="15" customHeight="1"/>
    <row r="51" ht="15" customHeight="1"/>
    <row r="52" ht="15" customHeight="1"/>
    <row r="53" ht="15" customHeight="1"/>
    <row r="54" ht="15" customHeight="1"/>
    <row r="55" ht="15" customHeight="1"/>
    <row r="56" ht="15" customHeight="1"/>
    <row r="57" ht="15" customHeight="1"/>
    <row r="58" ht="13.5" customHeight="1"/>
    <row r="59" ht="13.5" customHeight="1"/>
    <row r="60" ht="13.5" customHeight="1"/>
    <row r="61" ht="13.5" customHeight="1"/>
    <row r="62" ht="13.5" customHeight="1"/>
    <row r="63" ht="13.5" customHeight="1"/>
    <row r="64" ht="13.5" customHeight="1"/>
    <row r="65" ht="13.5" customHeight="1"/>
    <row r="66" ht="13.5" customHeight="1"/>
    <row r="67" ht="13.5" customHeight="1"/>
    <row r="68" ht="13.5" customHeight="1"/>
    <row r="69" ht="13.5" customHeight="1"/>
    <row r="70" ht="13.5" customHeight="1"/>
    <row r="71" ht="13.5" customHeight="1"/>
    <row r="72" ht="13.5" customHeight="1"/>
    <row r="73" ht="13.5" customHeight="1"/>
    <row r="74" ht="13.5" customHeight="1"/>
    <row r="75" ht="13.5" customHeight="1"/>
    <row r="76" ht="13.5" customHeight="1"/>
    <row r="77" ht="13.5" customHeight="1"/>
    <row r="78" ht="13.5" customHeight="1"/>
    <row r="79" ht="13.5" customHeight="1"/>
    <row r="80" ht="13.5" customHeight="1"/>
    <row r="81" ht="13.5" customHeight="1"/>
    <row r="82" ht="13.5" customHeight="1"/>
    <row r="83" ht="13.5" customHeight="1"/>
    <row r="84" ht="13.5" customHeight="1"/>
    <row r="85" ht="13.5" customHeight="1"/>
    <row r="86" ht="13.5" customHeight="1"/>
    <row r="87" ht="13.5" customHeight="1"/>
    <row r="88" ht="13.5" customHeight="1"/>
    <row r="89" ht="13.5" customHeight="1"/>
    <row r="90" ht="13.5" customHeight="1"/>
    <row r="91" ht="13.5" customHeight="1"/>
    <row r="92" ht="13.5" customHeight="1"/>
    <row r="93" ht="13.5" customHeight="1"/>
    <row r="94" ht="13.5" customHeight="1"/>
    <row r="95" ht="13.5" customHeight="1"/>
    <row r="96" ht="13.5" customHeight="1"/>
  </sheetData>
  <mergeCells count="40">
    <mergeCell ref="X18:Z18"/>
    <mergeCell ref="X19:Z19"/>
    <mergeCell ref="R18:W18"/>
    <mergeCell ref="R19:W19"/>
    <mergeCell ref="A18:Q20"/>
    <mergeCell ref="R20:T20"/>
    <mergeCell ref="U20:W20"/>
    <mergeCell ref="A22:Q22"/>
    <mergeCell ref="A23:Q23"/>
    <mergeCell ref="A25:Q25"/>
    <mergeCell ref="A24:Q24"/>
    <mergeCell ref="X20:Z20"/>
    <mergeCell ref="A21:Q21"/>
    <mergeCell ref="U21:W21"/>
    <mergeCell ref="R21:T21"/>
    <mergeCell ref="X21:Z21"/>
    <mergeCell ref="U22:W22"/>
    <mergeCell ref="R23:T23"/>
    <mergeCell ref="R25:T25"/>
    <mergeCell ref="R22:T22"/>
    <mergeCell ref="X24:Z24"/>
    <mergeCell ref="X23:Z23"/>
    <mergeCell ref="X22:Z22"/>
    <mergeCell ref="R28:T28"/>
    <mergeCell ref="X25:Z25"/>
    <mergeCell ref="X27:Z27"/>
    <mergeCell ref="A27:Q27"/>
    <mergeCell ref="A26:Q26"/>
    <mergeCell ref="X28:Z28"/>
    <mergeCell ref="U28:W28"/>
    <mergeCell ref="U26:W26"/>
    <mergeCell ref="A28:Q28"/>
    <mergeCell ref="R27:T27"/>
    <mergeCell ref="X26:Z26"/>
    <mergeCell ref="U23:W23"/>
    <mergeCell ref="U27:W27"/>
    <mergeCell ref="R24:T24"/>
    <mergeCell ref="R26:T26"/>
    <mergeCell ref="U25:W25"/>
    <mergeCell ref="U24:W24"/>
  </mergeCells>
  <phoneticPr fontId="4" type="noConversion"/>
  <printOptions horizontalCentered="1"/>
  <pageMargins left="0.39370078740157483" right="0.39370078740157483" top="0.59055118110236227" bottom="0.78740157480314965" header="0.51181102362204722" footer="0.19685039370078741"/>
  <pageSetup paperSize="9" orientation="portrait" blackAndWhite="1" r:id="rId1"/>
  <headerFooter alignWithMargins="0">
    <oddFooter>&amp;C&amp;G</oddFooter>
  </headerFooter>
  <drawing r:id="rId2"/>
  <legacyDrawingHF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AE70"/>
  <sheetViews>
    <sheetView view="pageBreakPreview" topLeftCell="A4" zoomScaleNormal="100" workbookViewId="0">
      <selection activeCell="AG24" sqref="AG24"/>
    </sheetView>
  </sheetViews>
  <sheetFormatPr defaultColWidth="8.7265625" defaultRowHeight="12.5"/>
  <cols>
    <col min="1" max="63" width="3.6328125" style="70" customWidth="1"/>
    <col min="64" max="16384" width="8.7265625" style="70"/>
  </cols>
  <sheetData>
    <row r="1" spans="1:27" s="14" customFormat="1" ht="18" customHeight="1">
      <c r="N1" s="70"/>
      <c r="O1" s="70"/>
      <c r="P1" s="70"/>
      <c r="Q1" s="70"/>
      <c r="R1" s="70"/>
      <c r="S1" s="70"/>
      <c r="T1" s="70"/>
      <c r="U1" s="70"/>
      <c r="V1" s="70"/>
      <c r="W1" s="70"/>
      <c r="X1" s="70"/>
      <c r="Y1" s="70"/>
      <c r="Z1" s="11"/>
      <c r="AA1" s="70"/>
    </row>
    <row r="2" spans="1:27" s="14" customFormat="1" ht="18" customHeight="1">
      <c r="N2" s="70"/>
      <c r="O2" s="70"/>
      <c r="P2" s="70"/>
      <c r="Q2" s="70"/>
      <c r="R2" s="70"/>
      <c r="S2" s="70"/>
      <c r="T2" s="70"/>
      <c r="U2" s="70"/>
      <c r="V2" s="70"/>
      <c r="W2" s="70"/>
      <c r="X2" s="70"/>
      <c r="Y2" s="70"/>
      <c r="Z2" s="11"/>
      <c r="AA2" s="70"/>
    </row>
    <row r="3" spans="1:27" s="14" customFormat="1" ht="18" customHeight="1"/>
    <row r="4" spans="1:27" s="14" customFormat="1" ht="18" customHeight="1">
      <c r="A4" s="46"/>
      <c r="B4" s="46"/>
      <c r="C4" s="46"/>
      <c r="D4" s="46"/>
      <c r="E4" s="46"/>
      <c r="F4" s="46"/>
      <c r="G4" s="46"/>
      <c r="H4" s="46"/>
      <c r="I4" s="46"/>
      <c r="J4" s="46"/>
      <c r="K4" s="46"/>
      <c r="L4" s="46"/>
      <c r="M4" s="46"/>
      <c r="N4" s="46"/>
      <c r="O4" s="46"/>
      <c r="P4" s="46"/>
      <c r="Q4" s="46"/>
      <c r="R4" s="46"/>
      <c r="S4" s="46"/>
      <c r="T4" s="46"/>
      <c r="U4" s="46"/>
      <c r="V4" s="46"/>
      <c r="W4" s="46"/>
      <c r="X4" s="46"/>
      <c r="Y4" s="46"/>
      <c r="Z4" s="46"/>
      <c r="AA4" s="70"/>
    </row>
    <row r="5" spans="1:27" s="14" customFormat="1" ht="18" customHeight="1">
      <c r="A5" s="387" t="s">
        <v>12</v>
      </c>
      <c r="B5" s="387"/>
      <c r="C5" s="387"/>
      <c r="D5" s="387"/>
      <c r="E5" s="387"/>
      <c r="F5" s="387"/>
      <c r="G5" s="387"/>
      <c r="H5" s="387"/>
      <c r="I5" s="387"/>
      <c r="J5" s="387"/>
      <c r="K5" s="387"/>
      <c r="L5" s="387"/>
      <c r="M5" s="387"/>
      <c r="N5" s="387"/>
      <c r="O5" s="387"/>
      <c r="P5" s="387"/>
      <c r="Q5" s="387"/>
      <c r="R5" s="387"/>
      <c r="S5" s="387"/>
      <c r="T5" s="387"/>
      <c r="U5" s="387"/>
      <c r="V5" s="387"/>
      <c r="W5" s="387"/>
      <c r="X5" s="387"/>
      <c r="Y5" s="387"/>
      <c r="Z5" s="387"/>
      <c r="AA5" s="70"/>
    </row>
    <row r="6" spans="1:27" ht="15" customHeight="1"/>
    <row r="7" spans="1:27" ht="15" customHeight="1"/>
    <row r="8" spans="1:27" ht="15" customHeight="1">
      <c r="B8" s="14"/>
      <c r="P8" s="14"/>
      <c r="Q8" s="14"/>
      <c r="R8" s="70" t="e">
        <f>+"ISSUED AT "&amp;AA8&amp;""</f>
        <v>#REF!</v>
      </c>
      <c r="S8" s="14"/>
      <c r="AA8" s="47" t="e">
        <f>#REF!</f>
        <v>#REF!</v>
      </c>
    </row>
    <row r="9" spans="1:27" ht="15" customHeight="1">
      <c r="A9" s="14"/>
      <c r="B9" s="14"/>
      <c r="C9" s="14"/>
      <c r="D9" s="14"/>
      <c r="P9" s="14"/>
      <c r="Q9" s="14"/>
      <c r="R9" s="70" t="e">
        <f>+"DATE : "&amp;AA9&amp;""</f>
        <v>#REF!</v>
      </c>
      <c r="S9" s="14"/>
      <c r="AA9" s="47" t="e">
        <f>#REF!</f>
        <v>#REF!</v>
      </c>
    </row>
    <row r="10" spans="1:27" ht="15" customHeight="1">
      <c r="A10" s="14"/>
      <c r="B10" s="14"/>
      <c r="C10" s="14"/>
      <c r="D10" s="14"/>
      <c r="P10" s="14"/>
      <c r="Q10" s="14"/>
      <c r="S10" s="14"/>
      <c r="AA10" s="47"/>
    </row>
    <row r="11" spans="1:27" ht="15" customHeight="1">
      <c r="AA11" s="48"/>
    </row>
    <row r="12" spans="1:27" ht="15" customHeight="1">
      <c r="A12" s="388" t="e">
        <f>+"THIS IS TO CERTIFY THAT THE UNDERMENTIONED COMMODITY SHIPPED PER  "&amp;AA12&amp;""</f>
        <v>#REF!</v>
      </c>
      <c r="B12" s="388"/>
      <c r="C12" s="388"/>
      <c r="D12" s="388"/>
      <c r="E12" s="388"/>
      <c r="F12" s="388"/>
      <c r="G12" s="388"/>
      <c r="H12" s="388"/>
      <c r="I12" s="388"/>
      <c r="J12" s="388"/>
      <c r="K12" s="388"/>
      <c r="L12" s="388"/>
      <c r="M12" s="388"/>
      <c r="N12" s="388"/>
      <c r="O12" s="388"/>
      <c r="P12" s="388"/>
      <c r="Q12" s="388"/>
      <c r="R12" s="388"/>
      <c r="S12" s="388"/>
      <c r="T12" s="388"/>
      <c r="U12" s="388"/>
      <c r="V12" s="388"/>
      <c r="W12" s="388"/>
      <c r="X12" s="388"/>
      <c r="Y12" s="388"/>
      <c r="Z12" s="388"/>
      <c r="AA12" s="47" t="e">
        <f>#REF!</f>
        <v>#REF!</v>
      </c>
    </row>
    <row r="13" spans="1:27" ht="15" customHeight="1">
      <c r="A13" s="389" t="e">
        <f>+"FROM "&amp;AA8&amp;" ON "&amp;AA9&amp;" WAS MANUFACTURED IN TAIWAN"</f>
        <v>#REF!</v>
      </c>
      <c r="B13" s="389"/>
      <c r="C13" s="389"/>
      <c r="D13" s="389"/>
      <c r="E13" s="389"/>
      <c r="F13" s="389"/>
      <c r="G13" s="389"/>
      <c r="H13" s="389"/>
      <c r="I13" s="389"/>
      <c r="J13" s="389"/>
      <c r="K13" s="389"/>
      <c r="L13" s="389"/>
      <c r="M13" s="389"/>
      <c r="N13" s="389"/>
      <c r="O13" s="389"/>
      <c r="P13" s="389"/>
      <c r="Q13" s="389"/>
      <c r="R13" s="389"/>
      <c r="S13" s="389"/>
      <c r="T13" s="389"/>
      <c r="U13" s="389"/>
      <c r="V13" s="389"/>
      <c r="W13" s="389"/>
      <c r="X13" s="389"/>
      <c r="Y13" s="389"/>
      <c r="Z13" s="389"/>
      <c r="AA13" s="48"/>
    </row>
    <row r="14" spans="1:27" ht="15" customHeight="1">
      <c r="AA14" s="48"/>
    </row>
    <row r="15" spans="1:27" ht="15" customHeight="1">
      <c r="A15" s="49"/>
      <c r="B15" s="49"/>
      <c r="C15" s="49"/>
      <c r="D15" s="49"/>
      <c r="E15" s="49"/>
      <c r="F15" s="49"/>
      <c r="G15" s="49"/>
      <c r="H15" s="49"/>
      <c r="I15" s="49"/>
      <c r="J15" s="49"/>
      <c r="K15" s="49"/>
      <c r="L15" s="49"/>
      <c r="M15" s="49"/>
      <c r="N15" s="49"/>
      <c r="O15" s="49"/>
      <c r="P15" s="49"/>
      <c r="Q15" s="49"/>
      <c r="R15" s="49"/>
      <c r="S15" s="49"/>
      <c r="T15" s="49"/>
      <c r="AA15" s="48"/>
    </row>
    <row r="16" spans="1:27" ht="15" customHeight="1">
      <c r="A16" s="14" t="s">
        <v>13</v>
      </c>
      <c r="AA16" s="48"/>
    </row>
    <row r="17" spans="1:31" ht="15" customHeight="1">
      <c r="E17" s="50"/>
      <c r="F17" s="50"/>
      <c r="G17" s="50"/>
      <c r="AA17" s="48"/>
    </row>
    <row r="18" spans="1:31" ht="15" customHeight="1">
      <c r="A18" s="70" t="e">
        <f>AA18</f>
        <v>#REF!</v>
      </c>
      <c r="F18" s="69" t="s">
        <v>10</v>
      </c>
      <c r="G18" s="70" t="e">
        <f>AE18</f>
        <v>#REF!</v>
      </c>
      <c r="AA18" s="47" t="e">
        <f>#REF!</f>
        <v>#REF!</v>
      </c>
      <c r="AE18" s="47" t="e">
        <f>#REF!</f>
        <v>#REF!</v>
      </c>
    </row>
    <row r="19" spans="1:31" ht="15" customHeight="1">
      <c r="F19" s="69"/>
      <c r="AA19" s="47"/>
      <c r="AE19" s="47"/>
    </row>
    <row r="20" spans="1:31" ht="15" customHeight="1"/>
    <row r="21" spans="1:31" ht="15" customHeight="1" thickBot="1">
      <c r="AA21" s="48"/>
    </row>
    <row r="22" spans="1:31" ht="24" customHeight="1" thickTop="1">
      <c r="A22" s="51"/>
      <c r="B22" s="52"/>
      <c r="C22" s="52"/>
      <c r="D22" s="52"/>
      <c r="E22" s="53"/>
      <c r="F22" s="53"/>
      <c r="G22" s="53"/>
      <c r="H22" s="54"/>
      <c r="I22" s="54"/>
      <c r="J22" s="52"/>
      <c r="K22" s="52"/>
      <c r="L22" s="52"/>
      <c r="M22" s="52"/>
      <c r="N22" s="52"/>
      <c r="O22" s="53"/>
      <c r="P22" s="53"/>
      <c r="Q22" s="53"/>
      <c r="R22" s="53"/>
      <c r="S22" s="53"/>
      <c r="T22" s="52"/>
      <c r="U22" s="52"/>
      <c r="V22" s="52"/>
      <c r="W22" s="52"/>
      <c r="X22" s="52"/>
      <c r="Y22" s="52"/>
      <c r="Z22" s="55"/>
      <c r="AA22" s="23"/>
    </row>
    <row r="23" spans="1:31" ht="24" customHeight="1">
      <c r="A23" s="56"/>
      <c r="B23" s="23"/>
      <c r="C23" s="23"/>
      <c r="D23" s="23"/>
      <c r="E23" s="23"/>
      <c r="F23" s="23"/>
      <c r="G23" s="23"/>
      <c r="H23" s="57"/>
      <c r="I23" s="57"/>
      <c r="J23" s="57"/>
      <c r="K23" s="57"/>
      <c r="L23" s="57"/>
      <c r="M23" s="57"/>
      <c r="N23" s="57"/>
      <c r="O23" s="25"/>
      <c r="Q23" s="31"/>
      <c r="R23" s="31"/>
      <c r="S23" s="31"/>
      <c r="T23" s="23"/>
      <c r="U23" s="23"/>
      <c r="V23" s="23"/>
      <c r="W23" s="23"/>
      <c r="X23" s="23"/>
      <c r="Y23" s="23"/>
      <c r="Z23" s="58"/>
      <c r="AA23" s="23"/>
    </row>
    <row r="24" spans="1:31" ht="24" customHeight="1">
      <c r="A24" s="34"/>
      <c r="B24" s="3"/>
      <c r="C24" s="68" t="s">
        <v>19</v>
      </c>
      <c r="D24" s="35"/>
      <c r="E24" s="59"/>
      <c r="F24" s="6"/>
      <c r="G24" s="6"/>
      <c r="H24" s="35" t="s">
        <v>10</v>
      </c>
      <c r="I24" s="6"/>
      <c r="J24" s="390" t="e">
        <f>#REF!</f>
        <v>#REF!</v>
      </c>
      <c r="K24" s="390"/>
      <c r="L24" s="390"/>
      <c r="M24" s="390"/>
      <c r="N24" s="390"/>
      <c r="O24" s="390"/>
      <c r="P24" s="60"/>
      <c r="Q24" s="36" t="e">
        <f>#REF!</f>
        <v>#REF!</v>
      </c>
      <c r="R24" s="36"/>
      <c r="S24" s="6"/>
      <c r="T24" s="6"/>
      <c r="U24" s="6"/>
      <c r="V24" s="3"/>
      <c r="W24" s="37"/>
      <c r="X24" s="6"/>
      <c r="Y24" s="3"/>
      <c r="Z24" s="7"/>
      <c r="AA24" s="23"/>
    </row>
    <row r="25" spans="1:31" ht="24" customHeight="1">
      <c r="A25" s="56"/>
      <c r="B25" s="23"/>
      <c r="C25" s="23"/>
      <c r="D25" s="23"/>
      <c r="E25" s="23"/>
      <c r="F25" s="23"/>
      <c r="G25" s="23"/>
      <c r="H25" s="57"/>
      <c r="I25" s="57"/>
      <c r="J25" s="57"/>
      <c r="K25" s="57"/>
      <c r="L25" s="57"/>
      <c r="M25" s="57"/>
      <c r="N25" s="57"/>
      <c r="O25" s="25"/>
      <c r="Q25" s="31"/>
      <c r="R25" s="31"/>
      <c r="S25" s="31"/>
      <c r="T25" s="23"/>
      <c r="U25" s="23"/>
      <c r="V25" s="23"/>
      <c r="W25" s="23"/>
      <c r="X25" s="23"/>
      <c r="Y25" s="23"/>
      <c r="Z25" s="58"/>
      <c r="AA25" s="23"/>
    </row>
    <row r="26" spans="1:31" ht="24" customHeight="1">
      <c r="A26" s="56"/>
      <c r="B26" s="23"/>
      <c r="C26" s="23"/>
      <c r="D26" s="23"/>
      <c r="E26" s="23"/>
      <c r="F26" s="23"/>
      <c r="G26" s="23"/>
      <c r="H26" s="57"/>
      <c r="I26" s="57"/>
      <c r="J26" s="57"/>
      <c r="K26" s="57"/>
      <c r="L26" s="57"/>
      <c r="M26" s="57"/>
      <c r="N26" s="57"/>
      <c r="O26" s="25"/>
      <c r="Q26" s="31"/>
      <c r="R26" s="31"/>
      <c r="S26" s="31"/>
      <c r="T26" s="23"/>
      <c r="U26" s="23"/>
      <c r="V26" s="23"/>
      <c r="W26" s="23"/>
      <c r="X26" s="23"/>
      <c r="Y26" s="23"/>
      <c r="Z26" s="58"/>
      <c r="AA26" s="23"/>
    </row>
    <row r="27" spans="1:31" ht="24" customHeight="1">
      <c r="A27" s="56"/>
      <c r="B27" s="23"/>
      <c r="C27" s="23"/>
      <c r="D27" s="23"/>
      <c r="E27" s="23"/>
      <c r="F27" s="23"/>
      <c r="G27" s="23"/>
      <c r="H27" s="57"/>
      <c r="I27" s="57"/>
      <c r="J27" s="57"/>
      <c r="K27" s="57"/>
      <c r="L27" s="57"/>
      <c r="M27" s="57"/>
      <c r="N27" s="57"/>
      <c r="O27" s="25"/>
      <c r="Q27" s="31"/>
      <c r="R27" s="31"/>
      <c r="S27" s="31"/>
      <c r="T27" s="23"/>
      <c r="U27" s="23"/>
      <c r="V27" s="23"/>
      <c r="W27" s="23"/>
      <c r="X27" s="23"/>
      <c r="Y27" s="23"/>
      <c r="Z27" s="58"/>
      <c r="AA27" s="23"/>
    </row>
    <row r="28" spans="1:31" ht="24" customHeight="1" thickBot="1">
      <c r="A28" s="61"/>
      <c r="B28" s="62"/>
      <c r="C28" s="62"/>
      <c r="D28" s="62"/>
      <c r="E28" s="62"/>
      <c r="F28" s="62"/>
      <c r="G28" s="62"/>
      <c r="H28" s="62"/>
      <c r="I28" s="62"/>
      <c r="J28" s="62"/>
      <c r="K28" s="62"/>
      <c r="L28" s="62"/>
      <c r="M28" s="62"/>
      <c r="N28" s="63"/>
      <c r="O28" s="62"/>
      <c r="P28" s="62"/>
      <c r="Q28" s="62"/>
      <c r="R28" s="62"/>
      <c r="S28" s="62"/>
      <c r="T28" s="62"/>
      <c r="U28" s="62"/>
      <c r="V28" s="62"/>
      <c r="W28" s="62"/>
      <c r="X28" s="62"/>
      <c r="Y28" s="62"/>
      <c r="Z28" s="64"/>
      <c r="AA28" s="23"/>
    </row>
    <row r="29" spans="1:31" ht="15" customHeight="1" thickTop="1">
      <c r="A29" s="23"/>
      <c r="B29" s="23"/>
      <c r="C29" s="23"/>
      <c r="D29" s="23"/>
      <c r="E29" s="23"/>
      <c r="F29" s="23"/>
      <c r="G29" s="23"/>
      <c r="H29" s="23"/>
      <c r="I29" s="23"/>
      <c r="J29" s="23"/>
      <c r="K29" s="23"/>
      <c r="L29" s="23"/>
      <c r="M29" s="23"/>
      <c r="N29" s="65"/>
      <c r="O29" s="23"/>
      <c r="P29" s="23"/>
      <c r="Q29" s="23"/>
      <c r="R29" s="23"/>
      <c r="S29" s="23"/>
      <c r="T29" s="23"/>
      <c r="U29" s="23"/>
      <c r="V29" s="23"/>
      <c r="W29" s="23"/>
      <c r="X29" s="23"/>
      <c r="Y29" s="23"/>
      <c r="Z29" s="23"/>
      <c r="AA29" s="23"/>
    </row>
    <row r="30" spans="1:31" ht="15" customHeight="1">
      <c r="A30" s="23"/>
      <c r="B30" s="23"/>
      <c r="C30" s="23"/>
      <c r="D30" s="23"/>
      <c r="E30" s="23"/>
      <c r="F30" s="23"/>
      <c r="G30" s="23"/>
      <c r="H30" s="23"/>
      <c r="I30" s="23"/>
      <c r="J30" s="23"/>
      <c r="K30" s="23"/>
      <c r="L30" s="23"/>
      <c r="M30" s="23"/>
      <c r="N30" s="65"/>
      <c r="O30" s="23"/>
      <c r="P30" s="23"/>
      <c r="Q30" s="23"/>
      <c r="R30" s="23"/>
      <c r="S30" s="23"/>
      <c r="T30" s="23"/>
      <c r="U30" s="23"/>
      <c r="V30" s="23"/>
      <c r="W30" s="23"/>
      <c r="X30" s="23"/>
      <c r="Y30" s="23"/>
      <c r="Z30" s="23"/>
      <c r="AA30" s="23"/>
    </row>
    <row r="31" spans="1:31" ht="15" customHeight="1">
      <c r="A31" s="23"/>
      <c r="B31" s="23"/>
      <c r="C31" s="23"/>
      <c r="D31" s="23"/>
      <c r="E31" s="23"/>
      <c r="F31" s="23"/>
      <c r="G31" s="23"/>
      <c r="H31" s="23"/>
      <c r="I31" s="23"/>
      <c r="J31" s="23"/>
      <c r="K31" s="23"/>
      <c r="L31" s="23"/>
      <c r="M31" s="23"/>
      <c r="N31" s="65"/>
      <c r="O31" s="23"/>
      <c r="P31" s="23"/>
      <c r="Q31" s="23"/>
      <c r="R31" s="23"/>
      <c r="S31" s="23"/>
      <c r="T31" s="23"/>
      <c r="U31" s="23"/>
      <c r="V31" s="23"/>
      <c r="W31" s="23"/>
      <c r="X31" s="23"/>
      <c r="Y31" s="23"/>
      <c r="Z31" s="23"/>
      <c r="AA31" s="23"/>
    </row>
    <row r="32" spans="1:31" ht="15" customHeight="1">
      <c r="A32" s="386"/>
      <c r="B32" s="386"/>
      <c r="C32" s="386"/>
      <c r="D32" s="386"/>
      <c r="E32" s="386"/>
      <c r="F32" s="69"/>
      <c r="G32" s="69"/>
    </row>
    <row r="33" spans="14:27" ht="15" customHeight="1"/>
    <row r="34" spans="14:27" ht="15" customHeight="1">
      <c r="N34" s="14"/>
      <c r="O34" s="14"/>
      <c r="P34" s="14"/>
      <c r="Q34" s="14"/>
      <c r="R34" s="14"/>
      <c r="S34" s="14"/>
      <c r="T34" s="14"/>
      <c r="U34" s="14"/>
      <c r="V34" s="14"/>
      <c r="W34" s="14"/>
      <c r="X34" s="14"/>
      <c r="Y34" s="14"/>
      <c r="Z34" s="14"/>
      <c r="AA34" s="66"/>
    </row>
    <row r="35" spans="14:27" ht="15" customHeight="1">
      <c r="P35" s="14"/>
      <c r="Q35" s="14"/>
      <c r="R35" s="39" t="s">
        <v>16</v>
      </c>
      <c r="S35" s="40"/>
      <c r="T35" s="39"/>
      <c r="U35" s="39"/>
      <c r="V35" s="39"/>
      <c r="W35" s="39"/>
      <c r="X35" s="39"/>
      <c r="Y35" s="38"/>
      <c r="Z35" s="6"/>
      <c r="AA35" s="14"/>
    </row>
    <row r="36" spans="14:27" ht="15" customHeight="1">
      <c r="P36" s="14"/>
      <c r="Q36" s="14"/>
      <c r="R36" s="39"/>
      <c r="S36" s="40"/>
      <c r="T36" s="39"/>
      <c r="U36" s="39"/>
      <c r="V36" s="39"/>
      <c r="W36" s="39"/>
      <c r="X36" s="39"/>
      <c r="Y36" s="41"/>
      <c r="Z36" s="6"/>
      <c r="AA36" s="14"/>
    </row>
    <row r="37" spans="14:27" ht="15" customHeight="1">
      <c r="P37" s="14"/>
      <c r="Q37" s="14"/>
      <c r="R37" s="39"/>
      <c r="S37" s="40"/>
      <c r="T37" s="39"/>
      <c r="U37" s="39"/>
      <c r="V37" s="39"/>
      <c r="W37" s="39"/>
      <c r="X37" s="39"/>
      <c r="Y37" s="6"/>
      <c r="Z37" s="36"/>
      <c r="AA37" s="14"/>
    </row>
    <row r="38" spans="14:27" ht="15" customHeight="1">
      <c r="N38" s="23"/>
      <c r="O38" s="23"/>
      <c r="P38" s="23"/>
      <c r="Q38" s="23"/>
      <c r="R38" s="42"/>
      <c r="S38" s="43"/>
      <c r="T38" s="42"/>
      <c r="U38" s="42"/>
      <c r="V38" s="42"/>
      <c r="W38" s="42"/>
      <c r="X38" s="42"/>
      <c r="Y38" s="6"/>
      <c r="Z38" s="38"/>
    </row>
    <row r="39" spans="14:27" ht="15" customHeight="1">
      <c r="N39" s="23"/>
      <c r="O39" s="23"/>
      <c r="P39" s="23"/>
      <c r="Q39" s="23"/>
      <c r="R39" s="45" t="s">
        <v>20</v>
      </c>
      <c r="S39" s="40"/>
      <c r="T39" s="39"/>
      <c r="U39" s="39"/>
      <c r="V39" s="39"/>
      <c r="W39" s="39"/>
      <c r="X39" s="45"/>
      <c r="Y39" s="16"/>
      <c r="Z39" s="44"/>
    </row>
    <row r="40" spans="14:27" ht="15" customHeight="1">
      <c r="N40" s="31"/>
      <c r="O40" s="31"/>
      <c r="P40" s="31"/>
      <c r="Q40" s="31"/>
      <c r="R40" s="31"/>
      <c r="S40" s="31"/>
      <c r="T40" s="31"/>
      <c r="U40" s="31"/>
      <c r="V40" s="31"/>
      <c r="W40" s="31"/>
      <c r="X40" s="31"/>
      <c r="Y40" s="31"/>
      <c r="Z40" s="31"/>
      <c r="AA40" s="23"/>
    </row>
    <row r="41" spans="14:27" ht="15" customHeight="1">
      <c r="O41" s="23"/>
    </row>
    <row r="42" spans="14:27" ht="15" customHeight="1">
      <c r="N42" s="70" t="s">
        <v>11</v>
      </c>
      <c r="O42" s="70" t="s">
        <v>11</v>
      </c>
      <c r="P42" s="67"/>
      <c r="Q42" s="67"/>
      <c r="R42" s="67"/>
      <c r="S42" s="67"/>
    </row>
    <row r="43" spans="14:27" ht="15" customHeight="1"/>
    <row r="44" spans="14:27" ht="15" customHeight="1"/>
    <row r="45" spans="14:27" ht="15" customHeight="1"/>
    <row r="46" spans="14:27" ht="15" customHeight="1"/>
    <row r="47" spans="14:27" ht="15" customHeight="1"/>
    <row r="48" spans="14:27"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20.149999999999999" customHeight="1"/>
    <row r="64" ht="20.149999999999999" customHeight="1"/>
    <row r="65" ht="20.149999999999999" customHeight="1"/>
    <row r="66" ht="20.149999999999999" customHeight="1"/>
    <row r="67" ht="20.149999999999999" customHeight="1"/>
    <row r="68" ht="20.149999999999999" customHeight="1"/>
    <row r="69" ht="20.149999999999999" customHeight="1"/>
    <row r="70" ht="20.149999999999999" customHeight="1"/>
  </sheetData>
  <mergeCells count="5">
    <mergeCell ref="A32:E32"/>
    <mergeCell ref="A5:Z5"/>
    <mergeCell ref="A12:Z12"/>
    <mergeCell ref="A13:Z13"/>
    <mergeCell ref="J24:O24"/>
  </mergeCells>
  <phoneticPr fontId="2" type="noConversion"/>
  <printOptions horizontalCentered="1"/>
  <pageMargins left="0.39370078740157483" right="0.39370078740157483" top="0.59055118110236227" bottom="0.78740157480314965" header="0.51181102362204722" footer="0.19685039370078741"/>
  <pageSetup paperSize="9" orientation="portrait" blackAndWhite="1" r:id="rId1"/>
  <headerFooter alignWithMargins="0">
    <oddFooter>&amp;C&amp;G</oddFooter>
  </headerFooter>
  <colBreaks count="1" manualBreakCount="1">
    <brk id="27" max="47" man="1"/>
  </colBreaks>
  <drawing r:id="rId2"/>
  <legacyDrawingHF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9</vt:i4>
      </vt:variant>
      <vt:variant>
        <vt:lpstr>具名範圍</vt:lpstr>
      </vt:variant>
      <vt:variant>
        <vt:i4>8</vt:i4>
      </vt:variant>
    </vt:vector>
  </HeadingPairs>
  <TitlesOfParts>
    <vt:vector size="17" baseType="lpstr">
      <vt:lpstr>裝櫃表格</vt:lpstr>
      <vt:lpstr>櫃號表格</vt:lpstr>
      <vt:lpstr>damage表格</vt:lpstr>
      <vt:lpstr>高鳳表單</vt:lpstr>
      <vt:lpstr>客戶名稱</vt:lpstr>
      <vt:lpstr>工作表2</vt:lpstr>
      <vt:lpstr>草稿</vt:lpstr>
      <vt:lpstr>Doc</vt:lpstr>
      <vt:lpstr>Origin-SGS</vt:lpstr>
      <vt:lpstr>工作表2!_Hlk79142210</vt:lpstr>
      <vt:lpstr>damage表格!Print_Area</vt:lpstr>
      <vt:lpstr>Doc!Print_Area</vt:lpstr>
      <vt:lpstr>'Origin-SGS'!Print_Area</vt:lpstr>
      <vt:lpstr>草稿!Print_Area</vt:lpstr>
      <vt:lpstr>裝櫃表格!Print_Area</vt:lpstr>
      <vt:lpstr>櫃號表格!Print_Area</vt:lpstr>
      <vt:lpstr>Table</vt:lpstr>
    </vt:vector>
  </TitlesOfParts>
  <Company>ＴＥＳＴ</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ＣＯＭＰＵＴＥＲ</dc:creator>
  <cp:lastModifiedBy>Lin, Eason-ML (Kaohsiung City)</cp:lastModifiedBy>
  <cp:lastPrinted>2024-03-31T16:16:57Z</cp:lastPrinted>
  <dcterms:created xsi:type="dcterms:W3CDTF">1998-08-27T01:38:50Z</dcterms:created>
  <dcterms:modified xsi:type="dcterms:W3CDTF">2024-04-23T04:16:19Z</dcterms:modified>
</cp:coreProperties>
</file>