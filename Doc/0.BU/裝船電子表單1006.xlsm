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DC05BD20-4804-7139-695A-D245BE01A294}"/>
  <workbookPr codeName="ThisWorkbook"/>
  <mc:AlternateContent xmlns:mc="http://schemas.openxmlformats.org/markup-compatibility/2006">
    <mc:Choice Requires="x15">
      <x15ac:absPath xmlns:x15ac="http://schemas.microsoft.com/office/spreadsheetml/2010/11/ac" url="C:\dev\SGS.NR.AutoReport\Doc\0.BU\"/>
    </mc:Choice>
  </mc:AlternateContent>
  <xr:revisionPtr revIDLastSave="0" documentId="13_ncr:1_{4BCDC4F8-684B-4316-B76B-CE11E384D06E}" xr6:coauthVersionLast="47" xr6:coauthVersionMax="47" xr10:uidLastSave="{00000000-0000-0000-0000-000000000000}"/>
  <bookViews>
    <workbookView xWindow="28680" yWindow="-120" windowWidth="29040" windowHeight="15720" tabRatio="801" activeTab="6" xr2:uid="{00000000-000D-0000-FFFF-FFFF00000000}"/>
  </bookViews>
  <sheets>
    <sheet name="船邊裝貨" sheetId="95" r:id="rId1"/>
    <sheet name="裝船表格" sheetId="90" r:id="rId2"/>
    <sheet name="裝船資訊" sheetId="93" r:id="rId3"/>
    <sheet name="damage表格" sheetId="83" r:id="rId4"/>
    <sheet name="客戶名稱" sheetId="88" r:id="rId5"/>
    <sheet name="工作表2" sheetId="89" state="hidden" r:id="rId6"/>
    <sheet name="草稿" sheetId="91" r:id="rId7"/>
    <sheet name="Doc" sheetId="67" state="hidden" r:id="rId8"/>
    <sheet name="Origin-SGS" sheetId="66" state="hidden" r:id="rId9"/>
  </sheets>
  <definedNames>
    <definedName name="_Hlk79142210" localSheetId="5">工作表2!$D$22</definedName>
    <definedName name="_xlnm.Print_Area" localSheetId="3">damage表格!$A$1:$V$61</definedName>
    <definedName name="_xlnm.Print_Area" localSheetId="7">Doc!$A$1:$Z$39</definedName>
    <definedName name="_xlnm.Print_Area" localSheetId="8">'Origin-SGS'!$A$1:$Z$40</definedName>
    <definedName name="_xlnm.Print_Area" localSheetId="6">草稿!$A$1:$X$179</definedName>
    <definedName name="_xlnm.Print_Area" localSheetId="0">船邊裝貨!$A$1:$Z$48</definedName>
    <definedName name="_xlnm.Print_Area" localSheetId="1">裝船表格!$A$1:$Z$79</definedName>
    <definedName name="_xlnm.Print_Area" localSheetId="2">裝船資訊!$A$1:$Y$85</definedName>
    <definedName name="Table">草稿!$E$12:$X$27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0" i="91" l="1"/>
  <c r="E9" i="91"/>
  <c r="E66" i="91"/>
  <c r="E33" i="93"/>
  <c r="E19" i="93"/>
  <c r="E55" i="91" s="1"/>
  <c r="AC19" i="93"/>
  <c r="A55" i="91"/>
  <c r="E53" i="91"/>
  <c r="A53" i="91"/>
  <c r="E51" i="91"/>
  <c r="A51" i="91"/>
  <c r="E49" i="91"/>
  <c r="A49" i="91"/>
  <c r="E47" i="91"/>
  <c r="A47" i="91"/>
  <c r="U15" i="91"/>
  <c r="U16" i="91"/>
  <c r="U17" i="91"/>
  <c r="U18" i="91"/>
  <c r="U19" i="91"/>
  <c r="U20" i="91"/>
  <c r="U21" i="91"/>
  <c r="U22" i="91"/>
  <c r="U23" i="91"/>
  <c r="U24" i="91"/>
  <c r="U25" i="91"/>
  <c r="U26" i="91"/>
  <c r="U27" i="91"/>
  <c r="U28" i="91"/>
  <c r="U29" i="91"/>
  <c r="U30" i="91"/>
  <c r="U14" i="91"/>
  <c r="A75" i="91"/>
  <c r="E170" i="91"/>
  <c r="E168" i="91"/>
  <c r="E166" i="91"/>
  <c r="AC6" i="93"/>
  <c r="AC17" i="93"/>
  <c r="E17" i="93" l="1"/>
  <c r="AG12" i="93" l="1"/>
  <c r="AD12" i="93"/>
  <c r="AE12" i="93"/>
  <c r="AF12" i="93"/>
  <c r="AC12" i="93"/>
  <c r="AJ12" i="93" s="1"/>
  <c r="M57" i="90"/>
  <c r="S43" i="90"/>
  <c r="S44" i="90"/>
  <c r="S45" i="90"/>
  <c r="S46" i="90"/>
  <c r="S47" i="90"/>
  <c r="S48" i="90"/>
  <c r="S49" i="90"/>
  <c r="S50" i="90"/>
  <c r="S51" i="90"/>
  <c r="S52" i="90"/>
  <c r="S53" i="90"/>
  <c r="Q39" i="90"/>
  <c r="Q40" i="90"/>
  <c r="Q41" i="90"/>
  <c r="Q42" i="90"/>
  <c r="Q43" i="90"/>
  <c r="Q44" i="90"/>
  <c r="Q45" i="90"/>
  <c r="Q46" i="90"/>
  <c r="Q47" i="90"/>
  <c r="Q48" i="90"/>
  <c r="Q49" i="90"/>
  <c r="Q50" i="90"/>
  <c r="Q51" i="90"/>
  <c r="Q52" i="90"/>
  <c r="Q53" i="90"/>
  <c r="Q38" i="90"/>
  <c r="AC39" i="90"/>
  <c r="S39" i="90" s="1"/>
  <c r="AC40" i="90"/>
  <c r="S40" i="90" s="1"/>
  <c r="AC41" i="90"/>
  <c r="S41" i="90" s="1"/>
  <c r="AC42" i="90"/>
  <c r="S42" i="90" s="1"/>
  <c r="AC43" i="90"/>
  <c r="AC44" i="90"/>
  <c r="AC45" i="90"/>
  <c r="AC46" i="90"/>
  <c r="AC47" i="90"/>
  <c r="AC48" i="90"/>
  <c r="AC49" i="90"/>
  <c r="AC50" i="90"/>
  <c r="AC51" i="90"/>
  <c r="AC52" i="90"/>
  <c r="AC53" i="90"/>
  <c r="AC38" i="90"/>
  <c r="S38" i="90" s="1"/>
  <c r="V14" i="91"/>
  <c r="X14" i="91"/>
  <c r="U13" i="91"/>
  <c r="V13" i="91"/>
  <c r="Y73" i="90"/>
  <c r="Y72" i="90"/>
  <c r="Y71" i="90"/>
  <c r="Y70" i="90"/>
  <c r="Y69" i="90"/>
  <c r="Y68" i="90"/>
  <c r="Y67" i="90"/>
  <c r="Y66" i="90"/>
  <c r="Y65" i="90"/>
  <c r="Y64" i="90"/>
  <c r="Y63" i="90"/>
  <c r="Y62" i="90"/>
  <c r="Y61" i="90"/>
  <c r="Y60" i="90"/>
  <c r="Y59" i="90"/>
  <c r="Y58" i="90"/>
  <c r="Y57" i="90"/>
  <c r="U73" i="90"/>
  <c r="U72" i="90"/>
  <c r="U71" i="90"/>
  <c r="U70" i="90"/>
  <c r="U69" i="90"/>
  <c r="U68" i="90"/>
  <c r="U67" i="90"/>
  <c r="U66" i="90"/>
  <c r="U65" i="90"/>
  <c r="U64" i="90"/>
  <c r="U63" i="90"/>
  <c r="U62" i="90"/>
  <c r="U61" i="90"/>
  <c r="U60" i="90"/>
  <c r="U59" i="90"/>
  <c r="U58" i="90"/>
  <c r="U57" i="90"/>
  <c r="Q73" i="90"/>
  <c r="Q72" i="90"/>
  <c r="Q71" i="90"/>
  <c r="Q70" i="90"/>
  <c r="Q69" i="90"/>
  <c r="Q68" i="90"/>
  <c r="Q67" i="90"/>
  <c r="Q66" i="90"/>
  <c r="Q65" i="90"/>
  <c r="Q64" i="90"/>
  <c r="Q63" i="90"/>
  <c r="Q62" i="90"/>
  <c r="Q61" i="90"/>
  <c r="Q60" i="90"/>
  <c r="Q59" i="90"/>
  <c r="Q58" i="90"/>
  <c r="Q57" i="90"/>
  <c r="M73" i="90"/>
  <c r="M72" i="90"/>
  <c r="M71" i="90"/>
  <c r="M70" i="90"/>
  <c r="M69" i="90"/>
  <c r="M68" i="90"/>
  <c r="M67" i="90"/>
  <c r="M66" i="90"/>
  <c r="M65" i="90"/>
  <c r="M64" i="90"/>
  <c r="M63" i="90"/>
  <c r="M62" i="90"/>
  <c r="M61" i="90"/>
  <c r="M60" i="90"/>
  <c r="M59" i="90"/>
  <c r="M58" i="90"/>
  <c r="I58" i="90"/>
  <c r="I59" i="90"/>
  <c r="I60" i="90"/>
  <c r="I61" i="90"/>
  <c r="I62" i="90"/>
  <c r="I63" i="90"/>
  <c r="I64" i="90"/>
  <c r="I65" i="90"/>
  <c r="I66" i="90"/>
  <c r="I67" i="90"/>
  <c r="I68" i="90"/>
  <c r="I69" i="90"/>
  <c r="I70" i="90"/>
  <c r="I71" i="90"/>
  <c r="I72" i="90"/>
  <c r="I73" i="90"/>
  <c r="I57" i="90"/>
  <c r="A72" i="90"/>
  <c r="F13" i="91"/>
  <c r="G13" i="91"/>
  <c r="H13" i="91"/>
  <c r="I13" i="91"/>
  <c r="J13" i="91"/>
  <c r="K13" i="91"/>
  <c r="L13" i="91"/>
  <c r="M13" i="91"/>
  <c r="N13" i="91"/>
  <c r="O13" i="91"/>
  <c r="P13" i="91"/>
  <c r="Q13" i="91"/>
  <c r="R13" i="91"/>
  <c r="S13" i="91"/>
  <c r="T13" i="91"/>
  <c r="W13" i="91"/>
  <c r="X13" i="91"/>
  <c r="H14" i="91"/>
  <c r="K14" i="91"/>
  <c r="N14" i="91"/>
  <c r="Q14" i="91"/>
  <c r="T14" i="91"/>
  <c r="H15" i="91"/>
  <c r="K15" i="91"/>
  <c r="N15" i="91"/>
  <c r="Q15" i="91"/>
  <c r="T15" i="91"/>
  <c r="H16" i="91"/>
  <c r="K16" i="91"/>
  <c r="N16" i="91"/>
  <c r="Q16" i="91"/>
  <c r="S16" i="91"/>
  <c r="T16" i="91"/>
  <c r="H17" i="91"/>
  <c r="K17" i="91"/>
  <c r="N17" i="91"/>
  <c r="Q17" i="91"/>
  <c r="T17" i="91"/>
  <c r="H18" i="91"/>
  <c r="K18" i="91"/>
  <c r="N18" i="91"/>
  <c r="P18" i="91"/>
  <c r="Q18" i="91"/>
  <c r="T18" i="91"/>
  <c r="H19" i="91"/>
  <c r="K19" i="91"/>
  <c r="N19" i="91"/>
  <c r="Q19" i="91"/>
  <c r="S19" i="91"/>
  <c r="T19" i="91"/>
  <c r="H20" i="91"/>
  <c r="K20" i="91"/>
  <c r="N20" i="91"/>
  <c r="Q20" i="91"/>
  <c r="T20" i="91"/>
  <c r="H21" i="91"/>
  <c r="K21" i="91"/>
  <c r="N21" i="91"/>
  <c r="Q21" i="91"/>
  <c r="S21" i="91"/>
  <c r="T21" i="91"/>
  <c r="H22" i="91"/>
  <c r="K22" i="91"/>
  <c r="N22" i="91"/>
  <c r="Q22" i="91"/>
  <c r="T22" i="91"/>
  <c r="H23" i="91"/>
  <c r="K23" i="91"/>
  <c r="N23" i="91"/>
  <c r="P23" i="91"/>
  <c r="Q23" i="91"/>
  <c r="S23" i="91"/>
  <c r="T23" i="91"/>
  <c r="H24" i="91"/>
  <c r="K24" i="91"/>
  <c r="N24" i="91"/>
  <c r="Q24" i="91"/>
  <c r="T24" i="91"/>
  <c r="H25" i="91"/>
  <c r="K25" i="91"/>
  <c r="N25" i="91"/>
  <c r="Q25" i="91"/>
  <c r="T25" i="91"/>
  <c r="H26" i="91"/>
  <c r="K26" i="91"/>
  <c r="N26" i="91"/>
  <c r="Q26" i="91"/>
  <c r="T26" i="91"/>
  <c r="H27" i="91"/>
  <c r="K27" i="91"/>
  <c r="N27" i="91"/>
  <c r="Q27" i="91"/>
  <c r="T27" i="91"/>
  <c r="H28" i="91"/>
  <c r="K28" i="91"/>
  <c r="N28" i="91"/>
  <c r="Q28" i="91"/>
  <c r="T28" i="91"/>
  <c r="H29" i="91"/>
  <c r="K29" i="91"/>
  <c r="N29" i="91"/>
  <c r="P29" i="91"/>
  <c r="Q29" i="91"/>
  <c r="T29" i="91"/>
  <c r="F30" i="91"/>
  <c r="G30" i="91"/>
  <c r="H30" i="91"/>
  <c r="I30" i="91"/>
  <c r="J30" i="91"/>
  <c r="K30" i="91"/>
  <c r="L30" i="91"/>
  <c r="M30" i="91"/>
  <c r="E28" i="91"/>
  <c r="E29" i="91"/>
  <c r="E30" i="91"/>
  <c r="E14" i="91"/>
  <c r="E15" i="91"/>
  <c r="E16" i="91"/>
  <c r="E17" i="91"/>
  <c r="E18" i="91"/>
  <c r="E19" i="91"/>
  <c r="E20" i="91"/>
  <c r="E21" i="91"/>
  <c r="E22" i="91"/>
  <c r="E23" i="91"/>
  <c r="E24" i="91"/>
  <c r="E25" i="91"/>
  <c r="E26" i="91"/>
  <c r="E27" i="91"/>
  <c r="E13" i="91"/>
  <c r="AB39" i="90"/>
  <c r="AB40" i="90"/>
  <c r="AB41" i="90"/>
  <c r="AB42" i="90"/>
  <c r="AB43" i="90"/>
  <c r="AB44" i="90"/>
  <c r="AB45" i="90"/>
  <c r="AB46" i="90"/>
  <c r="AB47" i="90"/>
  <c r="AB48" i="90"/>
  <c r="AB49" i="90"/>
  <c r="AB50" i="90"/>
  <c r="AB51" i="90"/>
  <c r="AB52" i="90"/>
  <c r="AB53" i="90"/>
  <c r="AB38" i="90"/>
  <c r="M54" i="90"/>
  <c r="Q30" i="91" s="1"/>
  <c r="O53" i="90"/>
  <c r="S29" i="91" s="1"/>
  <c r="O38" i="90"/>
  <c r="S14" i="91" s="1"/>
  <c r="L53" i="90"/>
  <c r="J54" i="90"/>
  <c r="N30" i="91" s="1"/>
  <c r="L54" i="90"/>
  <c r="P30" i="91" s="1"/>
  <c r="L39" i="90"/>
  <c r="P15" i="91" s="1"/>
  <c r="L40" i="90"/>
  <c r="P16" i="91" s="1"/>
  <c r="L41" i="90"/>
  <c r="P17" i="91" s="1"/>
  <c r="L42" i="90"/>
  <c r="L43" i="90"/>
  <c r="P19" i="91" s="1"/>
  <c r="L44" i="90"/>
  <c r="P20" i="91" s="1"/>
  <c r="L45" i="90"/>
  <c r="P21" i="91" s="1"/>
  <c r="L46" i="90"/>
  <c r="P22" i="91" s="1"/>
  <c r="L47" i="90"/>
  <c r="L48" i="90"/>
  <c r="P24" i="91" s="1"/>
  <c r="L49" i="90"/>
  <c r="P25" i="91" s="1"/>
  <c r="L50" i="90"/>
  <c r="P26" i="91" s="1"/>
  <c r="L51" i="90"/>
  <c r="P27" i="91" s="1"/>
  <c r="L52" i="90"/>
  <c r="P28" i="91" s="1"/>
  <c r="L38" i="90"/>
  <c r="P14" i="91" s="1"/>
  <c r="A57" i="90"/>
  <c r="W73" i="90"/>
  <c r="S73" i="90"/>
  <c r="O73" i="90"/>
  <c r="K73" i="90"/>
  <c r="G73" i="90"/>
  <c r="A73" i="90"/>
  <c r="A71" i="90"/>
  <c r="A70" i="90"/>
  <c r="A69" i="90"/>
  <c r="A68" i="90"/>
  <c r="A67" i="90"/>
  <c r="A66" i="90"/>
  <c r="A65" i="90"/>
  <c r="A64" i="90"/>
  <c r="A63" i="90"/>
  <c r="A62" i="90"/>
  <c r="A61" i="90"/>
  <c r="A60" i="90"/>
  <c r="A59" i="90"/>
  <c r="A58" i="90"/>
  <c r="O54" i="90"/>
  <c r="S30" i="91" s="1"/>
  <c r="O52" i="90"/>
  <c r="S28" i="91" s="1"/>
  <c r="O51" i="90"/>
  <c r="S27" i="91" s="1"/>
  <c r="O50" i="90"/>
  <c r="S26" i="91" s="1"/>
  <c r="O49" i="90"/>
  <c r="S25" i="91" s="1"/>
  <c r="O48" i="90"/>
  <c r="S24" i="91" s="1"/>
  <c r="O47" i="90"/>
  <c r="O46" i="90"/>
  <c r="S22" i="91" s="1"/>
  <c r="O45" i="90"/>
  <c r="O44" i="90"/>
  <c r="S20" i="91" s="1"/>
  <c r="O43" i="90"/>
  <c r="O42" i="90"/>
  <c r="S18" i="91" s="1"/>
  <c r="O41" i="90"/>
  <c r="S17" i="91" s="1"/>
  <c r="O40" i="90"/>
  <c r="O39" i="90"/>
  <c r="S15" i="91" s="1"/>
  <c r="L64" i="91"/>
  <c r="L63" i="91"/>
  <c r="E64" i="91"/>
  <c r="E63" i="91"/>
  <c r="M64" i="91"/>
  <c r="M63" i="91"/>
  <c r="M58" i="91"/>
  <c r="M59" i="91"/>
  <c r="M60" i="91"/>
  <c r="M61" i="91"/>
  <c r="E58" i="91"/>
  <c r="E59" i="91"/>
  <c r="E60" i="91"/>
  <c r="E61" i="91"/>
  <c r="E62" i="91"/>
  <c r="E57" i="91"/>
  <c r="AA1" i="90"/>
  <c r="E75" i="88"/>
  <c r="AT79" i="90"/>
  <c r="AT78" i="90"/>
  <c r="AT77" i="90"/>
  <c r="C89" i="90" s="1"/>
  <c r="AS83" i="90"/>
  <c r="AR83" i="90"/>
  <c r="J2" i="91"/>
  <c r="I10" i="90"/>
  <c r="E34" i="91" s="1"/>
  <c r="E3" i="88"/>
  <c r="E33" i="88"/>
  <c r="E34" i="88"/>
  <c r="E35" i="88"/>
  <c r="E36" i="88"/>
  <c r="E4" i="88"/>
  <c r="E37" i="88"/>
  <c r="E5" i="88"/>
  <c r="E38" i="88"/>
  <c r="E6" i="88"/>
  <c r="E7" i="88"/>
  <c r="E8" i="88"/>
  <c r="E9" i="88"/>
  <c r="E10" i="88"/>
  <c r="E11" i="88"/>
  <c r="E39" i="88"/>
  <c r="E12" i="88"/>
  <c r="E40" i="88"/>
  <c r="E41" i="88"/>
  <c r="E42" i="88"/>
  <c r="E43" i="88"/>
  <c r="E13" i="88"/>
  <c r="E14" i="88"/>
  <c r="E44" i="88"/>
  <c r="E15" i="88"/>
  <c r="E16" i="88"/>
  <c r="E17" i="88"/>
  <c r="E45" i="88"/>
  <c r="E18" i="88"/>
  <c r="E46" i="88"/>
  <c r="E47" i="88"/>
  <c r="E48" i="88"/>
  <c r="E49" i="88"/>
  <c r="E50" i="88"/>
  <c r="E51" i="88"/>
  <c r="E52" i="88"/>
  <c r="E53" i="88"/>
  <c r="E54" i="88"/>
  <c r="E55" i="88"/>
  <c r="E56" i="88"/>
  <c r="E19" i="88"/>
  <c r="E57" i="88"/>
  <c r="E20" i="88"/>
  <c r="E21" i="88"/>
  <c r="E58" i="88"/>
  <c r="E59" i="88"/>
  <c r="E22" i="88"/>
  <c r="E23" i="88"/>
  <c r="E24" i="88"/>
  <c r="E60" i="88"/>
  <c r="E61" i="88"/>
  <c r="E62" i="88"/>
  <c r="E25" i="88"/>
  <c r="E63" i="88"/>
  <c r="E26" i="88"/>
  <c r="E27" i="88"/>
  <c r="E28" i="88"/>
  <c r="E64" i="88"/>
  <c r="E65" i="88"/>
  <c r="E66" i="88"/>
  <c r="E67" i="88"/>
  <c r="E68" i="88"/>
  <c r="E69" i="88"/>
  <c r="E29" i="88"/>
  <c r="E70" i="88"/>
  <c r="E71" i="88"/>
  <c r="E72" i="88"/>
  <c r="E73" i="88"/>
  <c r="E30" i="88"/>
  <c r="E74" i="88"/>
  <c r="E31" i="88"/>
  <c r="E76" i="88"/>
  <c r="E77" i="88"/>
  <c r="E32" i="88"/>
  <c r="E2" i="88"/>
  <c r="E47" i="93" l="1"/>
  <c r="AC21" i="93"/>
  <c r="E38" i="93"/>
  <c r="E75" i="91" s="1"/>
  <c r="AC20" i="93"/>
  <c r="E15" i="93"/>
  <c r="E13" i="93"/>
  <c r="W14" i="91"/>
  <c r="P54" i="90"/>
  <c r="T30" i="91" s="1"/>
  <c r="C90" i="90"/>
  <c r="AC15" i="90" a="1"/>
  <c r="AC15" i="90" s="1"/>
  <c r="AC12" i="90" a="1"/>
  <c r="AC12" i="90" s="1"/>
  <c r="G14" i="90" s="1"/>
  <c r="AC18" i="90" a="1"/>
  <c r="AC18" i="90" s="1"/>
  <c r="AC11" i="90" a="1"/>
  <c r="AC11" i="90" s="1"/>
  <c r="AC10" i="90" a="1"/>
  <c r="AC10" i="90" s="1"/>
  <c r="AC14" i="90" a="1"/>
  <c r="AC14" i="90" s="1"/>
  <c r="E16" i="90" s="1"/>
  <c r="AC17" i="90" a="1"/>
  <c r="AC17" i="90" s="1"/>
  <c r="AC13" i="90" a="1"/>
  <c r="AC13" i="90" s="1"/>
  <c r="AC16" i="90" a="1"/>
  <c r="AC16" i="90" s="1"/>
  <c r="E18" i="90" s="1"/>
  <c r="E36" i="91"/>
  <c r="AQ7" i="83"/>
  <c r="AP7" i="83"/>
  <c r="AO7" i="83"/>
  <c r="AN7" i="83"/>
  <c r="BA9" i="83" s="1" a="1"/>
  <c r="BA9" i="83" s="1"/>
  <c r="AM7" i="83"/>
  <c r="BA8" i="83" s="1" a="1"/>
  <c r="BA8" i="83" s="1"/>
  <c r="AL7" i="83"/>
  <c r="E89" i="91"/>
  <c r="Q89" i="91"/>
  <c r="E90" i="91"/>
  <c r="Q90" i="91"/>
  <c r="E91" i="91"/>
  <c r="Q91" i="91"/>
  <c r="E92" i="91"/>
  <c r="Q92" i="91"/>
  <c r="E93" i="91"/>
  <c r="Q93" i="91"/>
  <c r="E94" i="91"/>
  <c r="Q94" i="91"/>
  <c r="E95" i="91"/>
  <c r="Q95" i="91"/>
  <c r="E96" i="91"/>
  <c r="Q96" i="91"/>
  <c r="E97" i="91"/>
  <c r="Q97" i="91"/>
  <c r="E98" i="91"/>
  <c r="Q98" i="91"/>
  <c r="E99" i="91"/>
  <c r="Q99" i="91"/>
  <c r="E100" i="91"/>
  <c r="Q100" i="91"/>
  <c r="E101" i="91"/>
  <c r="Q101" i="91"/>
  <c r="E102" i="91"/>
  <c r="Q102" i="91"/>
  <c r="E103" i="91"/>
  <c r="Q103" i="91"/>
  <c r="E104" i="91"/>
  <c r="Q104" i="91"/>
  <c r="E105" i="91"/>
  <c r="Q105" i="91"/>
  <c r="E106" i="91"/>
  <c r="Q106" i="91"/>
  <c r="E107" i="91"/>
  <c r="Q107" i="91"/>
  <c r="E108" i="91"/>
  <c r="Q108" i="91"/>
  <c r="E109" i="91"/>
  <c r="Q109" i="91"/>
  <c r="E110" i="91"/>
  <c r="Q110" i="91"/>
  <c r="E111" i="91"/>
  <c r="Q111" i="91"/>
  <c r="E112" i="91"/>
  <c r="Q112" i="91"/>
  <c r="E113" i="91"/>
  <c r="Q113" i="91"/>
  <c r="E114" i="91"/>
  <c r="Q114" i="91"/>
  <c r="E115" i="91"/>
  <c r="Q115" i="91"/>
  <c r="E116" i="91"/>
  <c r="Q116" i="91"/>
  <c r="E117" i="91"/>
  <c r="Q117" i="91"/>
  <c r="E118" i="91"/>
  <c r="Q118" i="91"/>
  <c r="E119" i="91"/>
  <c r="Q119" i="91"/>
  <c r="E120" i="91"/>
  <c r="Q120" i="91"/>
  <c r="E121" i="91"/>
  <c r="Q121" i="91"/>
  <c r="E122" i="91"/>
  <c r="Q122" i="91"/>
  <c r="E123" i="91"/>
  <c r="Q123" i="91"/>
  <c r="E124" i="91"/>
  <c r="Q124" i="91"/>
  <c r="E125" i="91"/>
  <c r="Q125" i="91"/>
  <c r="E126" i="91"/>
  <c r="Q126" i="91"/>
  <c r="E127" i="91"/>
  <c r="Q127" i="91"/>
  <c r="E128" i="91"/>
  <c r="Q128" i="91"/>
  <c r="E129" i="91"/>
  <c r="Q129" i="91"/>
  <c r="E130" i="91"/>
  <c r="Q130" i="91"/>
  <c r="E131" i="91"/>
  <c r="Q131" i="91"/>
  <c r="E132" i="91"/>
  <c r="Q132" i="91"/>
  <c r="E133" i="91"/>
  <c r="Q133" i="91"/>
  <c r="E134" i="91"/>
  <c r="Q134" i="91"/>
  <c r="E135" i="91"/>
  <c r="Q135" i="91"/>
  <c r="E136" i="91"/>
  <c r="Q136" i="91"/>
  <c r="E137" i="91"/>
  <c r="Q137" i="91"/>
  <c r="E138" i="91"/>
  <c r="Q138" i="91"/>
  <c r="E139" i="91"/>
  <c r="Q139" i="91"/>
  <c r="E140" i="91"/>
  <c r="Q140" i="91"/>
  <c r="E141" i="91"/>
  <c r="Q141" i="91"/>
  <c r="E142" i="91"/>
  <c r="Q142" i="91"/>
  <c r="E143" i="91"/>
  <c r="Q143" i="91"/>
  <c r="E144" i="91"/>
  <c r="Q144" i="91"/>
  <c r="E145" i="91"/>
  <c r="Q145" i="91"/>
  <c r="E146" i="91"/>
  <c r="Q146" i="91"/>
  <c r="E147" i="91"/>
  <c r="Q147" i="91"/>
  <c r="E148" i="91"/>
  <c r="Q148" i="91"/>
  <c r="E149" i="91"/>
  <c r="Q149" i="91"/>
  <c r="E150" i="91"/>
  <c r="Q150" i="91"/>
  <c r="E151" i="91"/>
  <c r="Q151" i="91"/>
  <c r="E152" i="91"/>
  <c r="Q152" i="91"/>
  <c r="E153" i="91"/>
  <c r="Q153" i="91"/>
  <c r="E154" i="91"/>
  <c r="Q154" i="91"/>
  <c r="E155" i="91"/>
  <c r="Q155" i="91"/>
  <c r="E156" i="91"/>
  <c r="Q156" i="91"/>
  <c r="E157" i="91"/>
  <c r="Q157" i="91"/>
  <c r="E158" i="91"/>
  <c r="Q158" i="91"/>
  <c r="E159" i="91"/>
  <c r="Q159" i="91"/>
  <c r="E160" i="91"/>
  <c r="Q160" i="91"/>
  <c r="E161" i="91"/>
  <c r="Q161" i="91"/>
  <c r="E162" i="91"/>
  <c r="Q162" i="91"/>
  <c r="E163" i="91"/>
  <c r="Q163" i="91"/>
  <c r="E164" i="91"/>
  <c r="Q164" i="91"/>
  <c r="E165" i="91"/>
  <c r="Q165" i="91"/>
  <c r="E10" i="83"/>
  <c r="E11" i="83"/>
  <c r="E12" i="83"/>
  <c r="E13" i="83"/>
  <c r="E14" i="83"/>
  <c r="E15" i="83"/>
  <c r="E16" i="83"/>
  <c r="E17" i="83"/>
  <c r="E18" i="83"/>
  <c r="E19" i="83"/>
  <c r="E20" i="83"/>
  <c r="E21" i="83"/>
  <c r="E22" i="83"/>
  <c r="E23" i="83"/>
  <c r="E24" i="83"/>
  <c r="BF9" i="83" a="1"/>
  <c r="BF9" i="83" s="1"/>
  <c r="BA10" i="83" a="1"/>
  <c r="BA10" i="83" s="1"/>
  <c r="BF10" i="83" a="1"/>
  <c r="BF10" i="83" s="1"/>
  <c r="BA11" i="83" a="1"/>
  <c r="BA11" i="83" s="1"/>
  <c r="BF11" i="83" a="1"/>
  <c r="BF11" i="83" s="1"/>
  <c r="BA12" i="83" a="1"/>
  <c r="BA12" i="83" s="1"/>
  <c r="BF12" i="83" a="1"/>
  <c r="BF12" i="83" s="1"/>
  <c r="BA13" i="83" a="1"/>
  <c r="BA13" i="83" s="1"/>
  <c r="BF13" i="83" a="1"/>
  <c r="BF13" i="83" s="1"/>
  <c r="BA14" i="83" a="1"/>
  <c r="BA14" i="83" s="1"/>
  <c r="BF14" i="83" a="1"/>
  <c r="BF14" i="83" s="1"/>
  <c r="BA15" i="83" a="1"/>
  <c r="BA15" i="83" s="1"/>
  <c r="BF15" i="83" a="1"/>
  <c r="BF15" i="83" s="1"/>
  <c r="BA16" i="83" a="1"/>
  <c r="BA16" i="83" s="1"/>
  <c r="BF16" i="83" a="1"/>
  <c r="BF16" i="83" s="1"/>
  <c r="BA17" i="83" a="1"/>
  <c r="BA17" i="83" s="1"/>
  <c r="BF17" i="83" a="1"/>
  <c r="BF17" i="83" s="1"/>
  <c r="BA18" i="83" a="1"/>
  <c r="BA18" i="83" s="1"/>
  <c r="W18" i="83" s="1"/>
  <c r="BF18" i="83" a="1"/>
  <c r="BF18" i="83" s="1"/>
  <c r="BA19" i="83" a="1"/>
  <c r="BA19" i="83" s="1"/>
  <c r="BF19" i="83" a="1"/>
  <c r="BF19" i="83" s="1"/>
  <c r="BA20" i="83" a="1"/>
  <c r="BA20" i="83" s="1"/>
  <c r="BF20" i="83" a="1"/>
  <c r="BF20" i="83" s="1"/>
  <c r="BA21" i="83" a="1"/>
  <c r="BA21" i="83" s="1"/>
  <c r="BF21" i="83" a="1"/>
  <c r="BF21" i="83" s="1"/>
  <c r="BA22" i="83" a="1"/>
  <c r="BA22" i="83" s="1"/>
  <c r="BF22" i="83" a="1"/>
  <c r="BF22" i="83" s="1"/>
  <c r="BA23" i="83" a="1"/>
  <c r="BA23" i="83" s="1"/>
  <c r="BF23" i="83" a="1"/>
  <c r="BF23" i="83" s="1"/>
  <c r="BA24" i="83" a="1"/>
  <c r="BA24" i="83" s="1"/>
  <c r="BF24" i="83" a="1"/>
  <c r="BF24" i="83" s="1"/>
  <c r="BF8" i="83" a="1"/>
  <c r="BF8" i="83" s="1"/>
  <c r="AB54" i="90" l="1"/>
  <c r="Q54" i="90" s="1"/>
  <c r="AB6" i="90" s="1"/>
  <c r="R54" i="90"/>
  <c r="AC54" i="90" s="1"/>
  <c r="S54" i="90" s="1"/>
  <c r="W20" i="83"/>
  <c r="W14" i="83"/>
  <c r="W22" i="83"/>
  <c r="W16" i="83"/>
  <c r="W21" i="83"/>
  <c r="W15" i="83"/>
  <c r="W19" i="83"/>
  <c r="W17" i="83"/>
  <c r="W13" i="83"/>
  <c r="W23" i="83"/>
  <c r="W11" i="83"/>
  <c r="W10" i="83"/>
  <c r="W9" i="83"/>
  <c r="E9" i="83" s="1"/>
  <c r="W8" i="83"/>
  <c r="E8" i="83" s="1"/>
  <c r="W24" i="83"/>
  <c r="W12" i="83"/>
  <c r="J89" i="91" l="1"/>
  <c r="J91" i="91"/>
  <c r="J92" i="91"/>
  <c r="J93" i="91"/>
  <c r="J94" i="91"/>
  <c r="J95" i="91"/>
  <c r="J96" i="91"/>
  <c r="J97" i="91"/>
  <c r="J98" i="91"/>
  <c r="J99" i="91"/>
  <c r="J100" i="91"/>
  <c r="J101" i="91"/>
  <c r="J103" i="91"/>
  <c r="J104" i="91"/>
  <c r="J105" i="91"/>
  <c r="J106" i="91"/>
  <c r="J107" i="91"/>
  <c r="J108" i="91"/>
  <c r="J109" i="91"/>
  <c r="J110" i="91"/>
  <c r="J111" i="91"/>
  <c r="J112" i="91"/>
  <c r="J113" i="91"/>
  <c r="J114" i="91"/>
  <c r="J115" i="91"/>
  <c r="J116" i="91"/>
  <c r="J117" i="91"/>
  <c r="J118" i="91"/>
  <c r="J119" i="91"/>
  <c r="J120" i="91"/>
  <c r="J121" i="91"/>
  <c r="J122" i="91"/>
  <c r="J123" i="91"/>
  <c r="J124" i="91"/>
  <c r="J125" i="91"/>
  <c r="J127" i="91"/>
  <c r="J128" i="91"/>
  <c r="J129" i="91"/>
  <c r="J130" i="91"/>
  <c r="J131" i="91"/>
  <c r="J132" i="91"/>
  <c r="J133" i="91"/>
  <c r="J134" i="91"/>
  <c r="J135" i="91"/>
  <c r="J136" i="91"/>
  <c r="J137" i="91"/>
  <c r="J139" i="91"/>
  <c r="J140" i="91"/>
  <c r="J141" i="91"/>
  <c r="J142" i="91"/>
  <c r="J143" i="91"/>
  <c r="J144" i="91"/>
  <c r="J145" i="91"/>
  <c r="J146" i="91"/>
  <c r="J147" i="91"/>
  <c r="J148" i="91"/>
  <c r="J149" i="91"/>
  <c r="J150" i="91"/>
  <c r="J151" i="91"/>
  <c r="J152" i="91"/>
  <c r="J153" i="91"/>
  <c r="J154" i="91"/>
  <c r="J155" i="91"/>
  <c r="J156" i="91"/>
  <c r="J157" i="91"/>
  <c r="J158" i="91"/>
  <c r="J159" i="91"/>
  <c r="J161" i="91"/>
  <c r="J162" i="91"/>
  <c r="J163" i="91"/>
  <c r="J164" i="91"/>
  <c r="J90" i="91"/>
  <c r="J102" i="91"/>
  <c r="J126" i="91"/>
  <c r="J138" i="91"/>
  <c r="AJ86" i="93"/>
  <c r="J160" i="91" l="1"/>
  <c r="J165" i="91"/>
  <c r="S8" i="90" l="1"/>
  <c r="AB8" i="90" s="1"/>
  <c r="AD26" i="90"/>
  <c r="AD25" i="90"/>
  <c r="AD24" i="90"/>
  <c r="AD23" i="90"/>
  <c r="AD22" i="90"/>
  <c r="M57" i="91"/>
  <c r="U70" i="91"/>
  <c r="U71" i="91"/>
  <c r="U72" i="91"/>
  <c r="U73" i="91"/>
  <c r="U69" i="91"/>
  <c r="I70" i="91"/>
  <c r="I71" i="91"/>
  <c r="I72" i="91"/>
  <c r="I73" i="91"/>
  <c r="I69" i="91"/>
  <c r="E70" i="91"/>
  <c r="E71" i="91"/>
  <c r="E72" i="91"/>
  <c r="E73" i="91"/>
  <c r="U68" i="91"/>
  <c r="I68" i="91"/>
  <c r="E68" i="91"/>
  <c r="AC20" i="90" l="1"/>
  <c r="Z4" i="91"/>
  <c r="A176" i="91" l="1"/>
  <c r="E69" i="91"/>
  <c r="C87" i="90"/>
  <c r="C85" i="90"/>
  <c r="C84" i="90"/>
  <c r="Q31" i="90"/>
  <c r="M62" i="91" s="1"/>
  <c r="A3" i="91" l="1"/>
  <c r="E23" i="90"/>
  <c r="V23" i="90" s="1"/>
  <c r="E24" i="90"/>
  <c r="E40" i="91"/>
  <c r="G24" i="90" l="1"/>
  <c r="V24" i="90"/>
  <c r="E20" i="90"/>
  <c r="E38" i="91" s="1"/>
  <c r="Q24" i="90"/>
  <c r="T24" i="90"/>
  <c r="A7" i="91"/>
  <c r="AB9" i="90"/>
  <c r="E32" i="91" s="1"/>
  <c r="X5" i="67" l="1"/>
  <c r="Q24" i="66" l="1"/>
  <c r="A23" i="67" l="1"/>
  <c r="A28" i="67" l="1"/>
  <c r="A27" i="67"/>
  <c r="A26" i="67"/>
  <c r="A25" i="67"/>
  <c r="A24" i="67"/>
  <c r="A22" i="67"/>
  <c r="A21" i="67"/>
  <c r="A16" i="67"/>
  <c r="G15" i="67"/>
  <c r="A15" i="67"/>
  <c r="G14" i="67"/>
  <c r="A14" i="67"/>
  <c r="G13" i="67"/>
  <c r="A13" i="67"/>
  <c r="A12" i="67"/>
  <c r="A11" i="67"/>
  <c r="G10" i="67"/>
  <c r="A10" i="67"/>
  <c r="G9" i="67"/>
  <c r="A9" i="67"/>
  <c r="G8" i="67"/>
  <c r="A8" i="67"/>
  <c r="G7" i="67"/>
  <c r="A39" i="67" s="1"/>
  <c r="A7" i="67"/>
  <c r="AE18" i="66"/>
  <c r="G18" i="66" s="1"/>
  <c r="AA18" i="66"/>
  <c r="A18" i="66" s="1"/>
  <c r="AA12" i="66"/>
  <c r="A12" i="66" s="1"/>
  <c r="AA8" i="66"/>
  <c r="R8" i="66" s="1"/>
  <c r="G16" i="67" l="1"/>
  <c r="J24" i="66" l="1"/>
  <c r="G11" i="67" l="1"/>
  <c r="G12" i="67" l="1"/>
  <c r="AA9" i="66"/>
  <c r="A13" i="66" l="1"/>
  <c r="R9" i="66"/>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<sst xmlns="http://schemas.openxmlformats.org/spreadsheetml/2006/main" count="1209" uniqueCount="755">
  <si>
    <t xml:space="preserve">W.O. NO. : OGC - </t>
  </si>
  <si>
    <t xml:space="preserve">FOR </t>
  </si>
  <si>
    <t>MASTER</t>
  </si>
  <si>
    <t>ORIGINAL</t>
  </si>
  <si>
    <t>COPY</t>
  </si>
  <si>
    <r>
      <rPr>
        <b/>
        <sz val="10"/>
        <color rgb="FFFF6600"/>
        <rFont val="新細明體"/>
        <family val="1"/>
        <charset val="136"/>
      </rPr>
      <t>間距空一列</t>
    </r>
  </si>
  <si>
    <t xml:space="preserve">: </t>
    <phoneticPr fontId="2" type="noConversion"/>
  </si>
  <si>
    <r>
      <t xml:space="preserve">COA </t>
    </r>
    <r>
      <rPr>
        <b/>
        <sz val="10"/>
        <color rgb="FFFF0000"/>
        <rFont val="新細明體"/>
        <family val="1"/>
        <charset val="136"/>
      </rPr>
      <t>有兩版本，請確認是否連結到正確的</t>
    </r>
    <r>
      <rPr>
        <b/>
        <sz val="10"/>
        <color rgb="FFFF0000"/>
        <rFont val="Arial"/>
        <family val="2"/>
      </rPr>
      <t>COA</t>
    </r>
    <phoneticPr fontId="4" type="noConversion"/>
  </si>
  <si>
    <t>MASTER RECEIPT OF DOCUMENTS</t>
    <phoneticPr fontId="4" type="noConversion"/>
  </si>
  <si>
    <t>COPY</t>
    <phoneticPr fontId="4" type="noConversion"/>
  </si>
  <si>
    <t>:</t>
    <phoneticPr fontId="2" type="noConversion"/>
  </si>
  <si>
    <t xml:space="preserve"> </t>
    <phoneticPr fontId="2" type="noConversion"/>
  </si>
  <si>
    <t>CERTIFICATE OF ORIGIN</t>
    <phoneticPr fontId="2" type="noConversion"/>
  </si>
  <si>
    <t>THAT IS OF TAIWAN ORIGIN :</t>
    <phoneticPr fontId="2" type="noConversion"/>
  </si>
  <si>
    <t>FOR CONSIGNEE</t>
    <phoneticPr fontId="23" type="noConversion"/>
  </si>
  <si>
    <t>Inspector</t>
    <phoneticPr fontId="2" type="noConversion"/>
  </si>
  <si>
    <t>SGS Far East Ltd., Taiwan</t>
    <phoneticPr fontId="2" type="noConversion"/>
  </si>
  <si>
    <t>DOCUMENTS</t>
    <phoneticPr fontId="4" type="noConversion"/>
  </si>
  <si>
    <t>C/O MASTER</t>
    <phoneticPr fontId="23" type="noConversion"/>
  </si>
  <si>
    <t>QUANTITY</t>
    <phoneticPr fontId="2" type="noConversion"/>
  </si>
  <si>
    <t>Authorized Signatory</t>
    <phoneticPr fontId="2" type="noConversion"/>
  </si>
  <si>
    <t>:</t>
    <phoneticPr fontId="61" type="noConversion"/>
  </si>
  <si>
    <t>hrs.</t>
    <phoneticPr fontId="61" type="noConversion"/>
  </si>
  <si>
    <t>Weather</t>
    <phoneticPr fontId="61" type="noConversion"/>
  </si>
  <si>
    <r>
      <rPr>
        <sz val="11"/>
        <color theme="1"/>
        <rFont val="細明體"/>
        <family val="2"/>
        <charset val="136"/>
      </rPr>
      <t>積載情況</t>
    </r>
    <r>
      <rPr>
        <sz val="11"/>
        <color theme="1"/>
        <rFont val="Arial"/>
        <family val="2"/>
      </rPr>
      <t>:</t>
    </r>
    <phoneticPr fontId="61" type="noConversion"/>
  </si>
  <si>
    <t xml:space="preserve"> </t>
    <phoneticPr fontId="61" type="noConversion"/>
  </si>
  <si>
    <t>M.V.</t>
    <phoneticPr fontId="61" type="noConversion"/>
  </si>
  <si>
    <t>SHIPPER</t>
    <phoneticPr fontId="2" type="noConversion"/>
  </si>
  <si>
    <t>Date:</t>
    <phoneticPr fontId="61" type="noConversion"/>
  </si>
  <si>
    <t>BUYER</t>
    <phoneticPr fontId="2" type="noConversion"/>
  </si>
  <si>
    <t xml:space="preserve">Taiwan Marubeni-Itochu Steel, Taipei </t>
  </si>
  <si>
    <t>TRADER</t>
    <phoneticPr fontId="2" type="noConversion"/>
  </si>
  <si>
    <t>Marubeni-Itochu Steel Canada Inc., V5H 4N2 Canada</t>
  </si>
  <si>
    <t>Packing :</t>
    <phoneticPr fontId="2" type="noConversion"/>
  </si>
  <si>
    <t>Each horizontal coil wrapped in a moisture-resistance plasticized Kraft envelope with both circumferential and core metal sheets, both side cardboard discs, and four outer and core protection steel rings, then secured with 4 cycle flat plastic bands as well as 2 cycle/8 radial flat metal strapping bands.</t>
  </si>
  <si>
    <t>Marks :</t>
    <phoneticPr fontId="2" type="noConversion"/>
  </si>
  <si>
    <t>Clear</t>
    <phoneticPr fontId="2" type="noConversion"/>
  </si>
  <si>
    <t>Cloudy</t>
    <phoneticPr fontId="2" type="noConversion"/>
  </si>
  <si>
    <t>Overcast</t>
    <phoneticPr fontId="2" type="noConversion"/>
  </si>
  <si>
    <t>Rainy</t>
    <phoneticPr fontId="2" type="noConversion"/>
  </si>
  <si>
    <t>Drizzly</t>
    <phoneticPr fontId="2" type="noConversion"/>
  </si>
  <si>
    <t>Showery</t>
    <phoneticPr fontId="2" type="noConversion"/>
  </si>
  <si>
    <t>Invoice No.</t>
    <phoneticPr fontId="2" type="noConversion"/>
  </si>
  <si>
    <t>S/O No.</t>
    <phoneticPr fontId="2" type="noConversion"/>
  </si>
  <si>
    <t>V</t>
    <phoneticPr fontId="2" type="noConversion"/>
  </si>
  <si>
    <t>Inspector</t>
    <phoneticPr fontId="61" type="noConversion"/>
  </si>
  <si>
    <t>)</t>
  </si>
  <si>
    <t>COLD ROLLED STAINLESS STEEL SHEET IN COIL</t>
    <phoneticPr fontId="2" type="noConversion"/>
  </si>
  <si>
    <t>Gross Weight</t>
    <phoneticPr fontId="2" type="noConversion"/>
  </si>
  <si>
    <r>
      <rPr>
        <sz val="11"/>
        <color theme="1"/>
        <rFont val="細明體"/>
        <family val="2"/>
        <charset val="136"/>
      </rPr>
      <t>晴</t>
    </r>
    <phoneticPr fontId="2" type="noConversion"/>
  </si>
  <si>
    <r>
      <rPr>
        <sz val="11"/>
        <color theme="1"/>
        <rFont val="細明體"/>
        <family val="2"/>
        <charset val="136"/>
      </rPr>
      <t>多雲</t>
    </r>
    <phoneticPr fontId="2" type="noConversion"/>
  </si>
  <si>
    <r>
      <rPr>
        <sz val="11"/>
        <color theme="1"/>
        <rFont val="細明體"/>
        <family val="2"/>
        <charset val="136"/>
      </rPr>
      <t>陰天</t>
    </r>
    <phoneticPr fontId="2" type="noConversion"/>
  </si>
  <si>
    <r>
      <rPr>
        <sz val="11"/>
        <color theme="1"/>
        <rFont val="細明體"/>
        <family val="2"/>
        <charset val="136"/>
      </rPr>
      <t>雨</t>
    </r>
    <phoneticPr fontId="2" type="noConversion"/>
  </si>
  <si>
    <r>
      <rPr>
        <sz val="11"/>
        <color theme="1"/>
        <rFont val="細明體"/>
        <family val="2"/>
        <charset val="136"/>
      </rPr>
      <t>毛毛雨</t>
    </r>
    <phoneticPr fontId="2" type="noConversion"/>
  </si>
  <si>
    <r>
      <rPr>
        <sz val="11"/>
        <color theme="1"/>
        <rFont val="細明體"/>
        <family val="2"/>
        <charset val="136"/>
      </rPr>
      <t>陣雨</t>
    </r>
    <phoneticPr fontId="2" type="noConversion"/>
  </si>
  <si>
    <t>否</t>
  </si>
  <si>
    <t xml:space="preserve"> )排 / (</t>
  </si>
  <si>
    <t xml:space="preserve"> )層</t>
  </si>
  <si>
    <t xml:space="preserve"> )蓋(</t>
  </si>
  <si>
    <t xml:space="preserve">每排下方放( </t>
  </si>
  <si>
    <t>共(</t>
  </si>
  <si>
    <t>每排以 (</t>
  </si>
  <si>
    <t>各貨堆(</t>
  </si>
  <si>
    <t>Quantity</t>
    <phoneticPr fontId="2" type="noConversion"/>
  </si>
  <si>
    <t>PPG112545</t>
    <phoneticPr fontId="2" type="noConversion"/>
  </si>
  <si>
    <t>Total</t>
    <phoneticPr fontId="2" type="noConversion"/>
  </si>
  <si>
    <t>帆布</t>
  </si>
  <si>
    <t>Port of Loading:</t>
    <phoneticPr fontId="2" type="noConversion"/>
  </si>
  <si>
    <t>Port of Discharge:</t>
    <phoneticPr fontId="2" type="noConversion"/>
  </si>
  <si>
    <t>(as provided by client)</t>
    <phoneticPr fontId="2" type="noConversion"/>
  </si>
  <si>
    <t>Net Weight</t>
    <phoneticPr fontId="2" type="noConversion"/>
  </si>
  <si>
    <t>SHIPMENT</t>
    <phoneticPr fontId="2" type="noConversion"/>
  </si>
  <si>
    <t>PACKING</t>
    <phoneticPr fontId="2" type="noConversion"/>
  </si>
  <si>
    <t>MARKS</t>
    <phoneticPr fontId="2" type="noConversion"/>
  </si>
  <si>
    <t xml:space="preserve">The cargo in coils trailered from the mill to Wharf No. 36 was shifted by forklifts from the chassis to line alongside the vessel, then loaded into the vessel’s Hold No. 3 by the ship’s crane with the spreader, steel chains, wire ropes, shackles and cargo hooks connecting to special belt slings. </t>
  </si>
  <si>
    <t>Bundle</t>
    <phoneticPr fontId="2" type="noConversion"/>
  </si>
  <si>
    <t>Coil</t>
    <phoneticPr fontId="2" type="noConversion"/>
  </si>
  <si>
    <t>The cargo had been stored in rows X 1~2 tier(s) high with wooden dunnage and wedges (for horizontal coils only) on the concrete ground in port godown No. 32 before the vessel’s arrival. Neither chemical nor corrosive object was uncovered in the vicinity where accessible</t>
    <phoneticPr fontId="2" type="noConversion"/>
  </si>
  <si>
    <t>GODOWN</t>
    <phoneticPr fontId="2" type="noConversion"/>
  </si>
  <si>
    <t>The cargo in coils had been stored in rows X 1~2 tier(s) high on the concrete ground in port godown No. 32 before the vessel’s arrival. Neither chemical nor corrosive object was uncovered in the vicinity. (Photo No. 1-3)</t>
    <phoneticPr fontId="2" type="noConversion"/>
  </si>
  <si>
    <t>The cargo in coils either trailered from the mill to Wharf No. 36, or moved by forklifts from piles to the chassis at port godown No. 39, next trailered to quayside, was shifted by forklifts from the chassis to line alongside the vessel, and loaded into the ship’s Hold No. 2 by the ship’s crane with the spreader, wire ropes, steel chains, shackles and cargo hooks connecting to special belt slings.</t>
    <phoneticPr fontId="2" type="noConversion"/>
  </si>
  <si>
    <t>V+H</t>
    <phoneticPr fontId="2" type="noConversion"/>
  </si>
  <si>
    <t>H</t>
    <phoneticPr fontId="2" type="noConversion"/>
  </si>
  <si>
    <t xml:space="preserve">The cargo in coils moved by single-boom-lifts from the pile to the chassis at port godown No. 39 (or from the mill) was trailered to alongside the vessel and loaded into the ship’s Hold No. 1 &amp; 5 by the ship’s cranes with the spreaders, wire ropes, steel chains, shackles and cargo hooks connecting to special belt slings. </t>
    <phoneticPr fontId="2" type="noConversion"/>
  </si>
  <si>
    <t>The cargo in coils either trailered from the mill to alongside the vessel, or moved by single-boom-lifts from piles to the chassis at port godown No. 39, next trailered to alongside the vessel was lifted up from the chassis, and loaded into the ship’s Hold No. 1 &amp; 5 by the ship’s cranes with the spreaders, wire ropes, steel chains, shackles and cargo hooks connecting to special belt slings. (Photo No. 5-40)</t>
    <phoneticPr fontId="2" type="noConversion"/>
  </si>
  <si>
    <t xml:space="preserve"> with hatches closed and the loading suspended.</t>
  </si>
  <si>
    <t>LOADING</t>
    <phoneticPr fontId="2" type="noConversion"/>
  </si>
  <si>
    <t>TIME LOG</t>
    <phoneticPr fontId="2" type="noConversion"/>
  </si>
  <si>
    <t>INSPECTION</t>
    <phoneticPr fontId="2" type="noConversion"/>
  </si>
  <si>
    <t>Coil No.</t>
  </si>
  <si>
    <t>Photo No.</t>
    <phoneticPr fontId="2" type="noConversion"/>
  </si>
  <si>
    <t>Findings</t>
    <phoneticPr fontId="2" type="noConversion"/>
  </si>
  <si>
    <t>The cargo in coils trailered from the mill to Wharf No. 36 was shifted by single-boom-lifts from the chassis to line alongside the vessel, then loaded into the vessel’s Hold No. 1 by the ship’s crane with the spreader, steel chains, wire ropes, shackles and cargo hooks connecting to special belt slings.</t>
    <phoneticPr fontId="2" type="noConversion"/>
  </si>
  <si>
    <t xml:space="preserve">The goods in bundles transported by trailers from the mill to Wharf No. 37 were removed from the tarpaulin covering, next shifted bundles from the chassis to alongside the vessel, and then directly loaded into the ship’s Hold No. 2 by the vessel’s crane with the spreader, wire ropes, shackles, and cargo hooks connecting to special belt slings. </t>
    <phoneticPr fontId="2" type="noConversion"/>
  </si>
  <si>
    <t>The goods were moved by fork-lifts from piles to the chassis at godown No. 39, but horizontal coils from the mill and trailered alongside the vessel, then shifted by forklifts from the chassis to line alongside the boat (vertical coils) were loaded into the ship’s Hold No. 1, 2 &amp; 4 by the vessel’s cranes with the spreaders, steel chains, wire ropes, shackles and cargo hooks connecting to special belt slings.</t>
    <phoneticPr fontId="2" type="noConversion"/>
  </si>
  <si>
    <t>The cargo in coils was shifted by forklifts from piles to the chassis in port godown No. 32, then transported by trailers to Wharf No. 39. Forklifts then moved the cargo from the chassis to the line alongside the vessel. The ship's crane then loaded the cargo into the vessel’s Hold No. 2 with the spreader, steel chains, wire ropes, shackles, and cargo hooks connecting to special belt slings.</t>
    <phoneticPr fontId="2" type="noConversion"/>
  </si>
  <si>
    <t xml:space="preserve">The cargo in coils moved by single-boom-lifts from the pile to the chassis at port godown No. 39 was trailered alongside the vessel and loaded into the ship’s Hold No. 3 by the ship’s crane with the spreaders, wire ropes, steel chains, shackles, and cargo hooks connecting to special belt slings. </t>
    <phoneticPr fontId="2" type="noConversion"/>
  </si>
  <si>
    <r>
      <rPr>
        <sz val="11"/>
        <rFont val="新細明體"/>
        <family val="1"/>
        <charset val="136"/>
      </rPr>
      <t>沒進倉，直接裝船</t>
    </r>
    <phoneticPr fontId="2" type="noConversion"/>
  </si>
  <si>
    <r>
      <rPr>
        <sz val="11"/>
        <rFont val="新細明體"/>
        <family val="1"/>
        <charset val="136"/>
      </rPr>
      <t>部分倉庫，部分工廠</t>
    </r>
    <phoneticPr fontId="2" type="noConversion"/>
  </si>
  <si>
    <r>
      <rPr>
        <sz val="11"/>
        <rFont val="新細明體"/>
        <family val="2"/>
        <charset val="136"/>
      </rPr>
      <t>進倉後直接裝船</t>
    </r>
    <phoneticPr fontId="2" type="noConversion"/>
  </si>
  <si>
    <t>Inox PA S.P.A</t>
  </si>
  <si>
    <t>Marghera port (Italy)</t>
  </si>
  <si>
    <t>STOWAGE</t>
    <phoneticPr fontId="2" type="noConversion"/>
  </si>
  <si>
    <t>The ship’s Master denied the Shipper’s surveyors to observe and take photos on the ship’s cargo stowage condition, so it had no access for us to embark the vessel.</t>
    <phoneticPr fontId="2" type="noConversion"/>
  </si>
  <si>
    <t>Each horizontal coil wrapped in a metal envelope with 4 outer/core protection steel rings, was secured with 3 cycle/4 radial flat metal bands.</t>
    <phoneticPr fontId="2" type="noConversion"/>
  </si>
  <si>
    <t>Coils revealed to be labelled with the wording “--------, Yusco, Marghera, No., Made in Taiwan, R.O.C., etc.” at one side and on core package respectively.</t>
    <phoneticPr fontId="2" type="noConversion"/>
  </si>
  <si>
    <t xml:space="preserve">Each vertical or horizontal coil in a metal envelope with 4 protection steel rings along upper-outer/-eye rims (vertical coil) or outer/eye rims (horizontal coil), then secured with 3 cycle/8 eye (vertical coil) or 3-6 cycle/4 eye (horizontal coil) flat metal strapping bands on a wooden pallet (vertical coil only). </t>
    <phoneticPr fontId="2" type="noConversion"/>
  </si>
  <si>
    <r>
      <rPr>
        <sz val="11"/>
        <rFont val="細明體"/>
        <family val="2"/>
        <charset val="136"/>
      </rPr>
      <t>防水紙包裝</t>
    </r>
    <phoneticPr fontId="2" type="noConversion"/>
  </si>
  <si>
    <r>
      <rPr>
        <sz val="11"/>
        <rFont val="細明體"/>
        <family val="2"/>
        <charset val="136"/>
      </rPr>
      <t>鐵包裝</t>
    </r>
    <phoneticPr fontId="2" type="noConversion"/>
  </si>
  <si>
    <t>Each coil, either in vertical or horizontal direction, is wrapped in a metal envelope with 2 or 4 protection steel rings along upper-outer/-eye rims (vertical coil) or outer/eye rims (horizontal coil), then secured with 3 cycle/8 eye (vertical coil) or 3 cycle/4 eye (horizontal coil) flat metal strapping bands on a wooden pallet (vertical coil only).</t>
    <phoneticPr fontId="2" type="noConversion"/>
  </si>
  <si>
    <t>Acciai Vender SPA</t>
    <phoneticPr fontId="2" type="noConversion"/>
  </si>
  <si>
    <t>Marghera port, Italy</t>
    <phoneticPr fontId="2" type="noConversion"/>
  </si>
  <si>
    <t>Coils revealed to be labelled with the wording “--------, Yusco, Order Reference No.: 2P/12, Net Weight, Gross Weight, Made in Taiwan, etc.” at one side and on core package respectively.</t>
    <phoneticPr fontId="2" type="noConversion"/>
  </si>
  <si>
    <t>Nova Steel – F.Z.C.</t>
    <phoneticPr fontId="2" type="noConversion"/>
  </si>
  <si>
    <t>Marghera port (Italy)</t>
    <phoneticPr fontId="2" type="noConversion"/>
  </si>
  <si>
    <t>Coils revealed to be labelled with the wording “--------, Job Order:, Net Weight, Gross Weight, Made in Taiwan, etc.” at one side and on core package respectively</t>
    <phoneticPr fontId="2" type="noConversion"/>
  </si>
  <si>
    <t>Friulana Metalli SPA</t>
    <phoneticPr fontId="2" type="noConversion"/>
  </si>
  <si>
    <t>Ravenna port, Italy</t>
    <phoneticPr fontId="2" type="noConversion"/>
  </si>
  <si>
    <t>Coils revealed to be labelled with the wording “--------, Job Order:, Net Weight, Gross Weight, Made in Taiwan, etc.” or “--------, Yusco, Order Reference, No.:, Net Weight, Gross Weight, Made in Taiwan, etc.” at one side and on core package respectively.</t>
    <phoneticPr fontId="2" type="noConversion"/>
  </si>
  <si>
    <t>Funabashi, Japan</t>
    <phoneticPr fontId="2" type="noConversion"/>
  </si>
  <si>
    <t>Shinko Bussan Co., Ltd.</t>
    <phoneticPr fontId="2" type="noConversion"/>
  </si>
  <si>
    <t>Coils revealed to be labeled with the wording “--------, Shinko, Funabashi, No., Made in Taiwan, etc.” at one side and on core package respectively.</t>
    <phoneticPr fontId="2" type="noConversion"/>
  </si>
  <si>
    <t>Iwatani Corporation</t>
    <phoneticPr fontId="2" type="noConversion"/>
  </si>
  <si>
    <t>Balaji Niryaat Pvt Ltd., Kolkata 700001, India</t>
    <phoneticPr fontId="2" type="noConversion"/>
  </si>
  <si>
    <t>Nhava Sheva Port in India</t>
    <phoneticPr fontId="2" type="noConversion"/>
  </si>
  <si>
    <t>Coils revealed to be labeled with the wording “--------, Nhava Sheva, No., Made in Taiwan, etc.” at the exterior surface each.</t>
    <phoneticPr fontId="2" type="noConversion"/>
  </si>
  <si>
    <t>Taiwan Marubeni-Itochu Steel, Taipei</t>
    <phoneticPr fontId="2" type="noConversion"/>
  </si>
  <si>
    <t>Yokohama, Japan</t>
    <phoneticPr fontId="2" type="noConversion"/>
  </si>
  <si>
    <t>Antwerp port, Belgium</t>
    <phoneticPr fontId="2" type="noConversion"/>
  </si>
  <si>
    <t>Roba Metals B.V.</t>
    <phoneticPr fontId="2" type="noConversion"/>
  </si>
  <si>
    <t>Coils revealed to be labelled with the wording “--------, Yusco, Antwerp, No., Made in Taiwan, R.O.C., etc.” at one side and on core package respectively.</t>
    <phoneticPr fontId="2" type="noConversion"/>
  </si>
  <si>
    <t>Phoenix Foils Private Limited, Mumbai-400004, India</t>
    <phoneticPr fontId="2" type="noConversion"/>
  </si>
  <si>
    <t>Coils revealed to be labeled with the wording “---------, Size/Grade/Weight/Finish/Heat No./Phoenix Foils, Nhava Sheva, Made in Taiwan, etc.” at the exterior surface each.</t>
    <phoneticPr fontId="2" type="noConversion"/>
  </si>
  <si>
    <t>Nhava Sheva Seaport India</t>
    <phoneticPr fontId="2" type="noConversion"/>
  </si>
  <si>
    <t>Italinox S.R.O., Czech Republic</t>
    <phoneticPr fontId="2" type="noConversion"/>
  </si>
  <si>
    <t>Hamburg, Germany</t>
    <phoneticPr fontId="2" type="noConversion"/>
  </si>
  <si>
    <t>Coils revealed to be labeled with the wording “---------, Italinox S.R.O., Net Weight, Gross Weight, Made in Taiwan, etc.” at the exterior surface each.</t>
    <phoneticPr fontId="2" type="noConversion"/>
  </si>
  <si>
    <t>Yieh Corporation Limited, Kaohsiung</t>
    <phoneticPr fontId="2" type="noConversion"/>
  </si>
  <si>
    <t>Rotterdam, Netherlands</t>
    <phoneticPr fontId="2" type="noConversion"/>
  </si>
  <si>
    <t>Venice Port</t>
    <phoneticPr fontId="2" type="noConversion"/>
  </si>
  <si>
    <t>Nord Est Metalli S.R.L., Italy</t>
    <phoneticPr fontId="2" type="noConversion"/>
  </si>
  <si>
    <t>Coils revealed to be labeled with the wording “---------, Nord Est Metalli S.R.L., Venice, Net Wt, Made in Taiwan, etc.” at the exterior surface each.</t>
    <phoneticPr fontId="2" type="noConversion"/>
  </si>
  <si>
    <t>COLD ROLLED STAINLESS STEEL SHEET IN COIL, BA FINISH</t>
    <phoneticPr fontId="2" type="noConversion"/>
  </si>
  <si>
    <t>HOT ROLLED STAINLESS STEEL SHEET IN COIL NO.1 FINISH</t>
    <phoneticPr fontId="2" type="noConversion"/>
  </si>
  <si>
    <t>COLD ROLLED STAINLESS STEEL SHEET IN COIL NO.2B/BA FINISH</t>
    <phoneticPr fontId="2" type="noConversion"/>
  </si>
  <si>
    <t>COLD ROLLED STAINLESS STEEL SHEET IN COIL NO.2B/BA FINISH,</t>
    <phoneticPr fontId="2" type="noConversion"/>
  </si>
  <si>
    <t>PRIME COLD ROLLED STAINLESS STEEL SHEET IN COIL NO.2B/BA FINISH,</t>
    <phoneticPr fontId="2" type="noConversion"/>
  </si>
  <si>
    <t xml:space="preserve">HOT/COLD ROLLED STAINLESS STEEL SHEET IN COIL 2B FINISH, </t>
    <phoneticPr fontId="2" type="noConversion"/>
  </si>
  <si>
    <t>HOT ROLLED STAINLESS STEEL COILS</t>
    <phoneticPr fontId="2" type="noConversion"/>
  </si>
  <si>
    <t>Lachesis Co., Ltd., South Korea</t>
    <phoneticPr fontId="2" type="noConversion"/>
  </si>
  <si>
    <t>Coils revealed to be labeled with the wording “---------, DMS Korea, Busan, No., Made in Taiwan, etc.” at the exterior surface each.</t>
    <phoneticPr fontId="2" type="noConversion"/>
  </si>
  <si>
    <t>Busan, South Korea</t>
    <phoneticPr fontId="2" type="noConversion"/>
  </si>
  <si>
    <t xml:space="preserve">COLD ROLLED STAINLESS STEEL SHEET IN COIL NO. 2B FINISH </t>
    <phoneticPr fontId="2" type="noConversion"/>
  </si>
  <si>
    <t>Kentzu Steel Sdn Bhd., 55200 Kuala Lumpur Malaysia</t>
    <phoneticPr fontId="2" type="noConversion"/>
  </si>
  <si>
    <t>Klang, Malaysia</t>
    <phoneticPr fontId="2" type="noConversion"/>
  </si>
  <si>
    <t>Coils revealed to be labeled with the wording “---------, Kentzu, Port Klang, No., Made in Taiwan, etc.” at the exterior surface each.</t>
    <phoneticPr fontId="2" type="noConversion"/>
  </si>
  <si>
    <t>HOT ROLLED STAINLESS STEEL SHEET IN COIL NO. 1 FINISH</t>
    <phoneticPr fontId="2" type="noConversion"/>
  </si>
  <si>
    <t>Kanzen Tetsu Sdn Bhd., 55200 Kuala Lumpur, Malaysia</t>
    <phoneticPr fontId="2" type="noConversion"/>
  </si>
  <si>
    <t>Coils revealed to be labeled with the wording “---------, Kanzen, Port Klang, No., Made in Taiwan, etc.” at the exterior surface each.</t>
  </si>
  <si>
    <t>DMS Korea Co., Ltd., Gyeongsangnam-Do, Republic of Korea</t>
    <phoneticPr fontId="2" type="noConversion"/>
  </si>
  <si>
    <t>Busan Port in South Korea</t>
    <phoneticPr fontId="2" type="noConversion"/>
  </si>
  <si>
    <t>Shipper name</t>
    <phoneticPr fontId="2" type="noConversion"/>
  </si>
  <si>
    <t>Buyer</t>
    <phoneticPr fontId="2" type="noConversion"/>
  </si>
  <si>
    <t>Cargo</t>
    <phoneticPr fontId="2" type="noConversion"/>
  </si>
  <si>
    <t>Discharging</t>
    <phoneticPr fontId="2" type="noConversion"/>
  </si>
  <si>
    <t>Marks</t>
    <phoneticPr fontId="2" type="noConversion"/>
  </si>
  <si>
    <t>HOT ROLLED STAINLESS STEEL IN COIL AISI 304 NO. 1 SLIT EDGE FINISH</t>
    <phoneticPr fontId="2" type="noConversion"/>
  </si>
  <si>
    <t>Bangkok (Pat), Thailand</t>
    <phoneticPr fontId="2" type="noConversion"/>
  </si>
  <si>
    <t>T.P. Subcharoen Co., Ltd., Thailand</t>
    <phoneticPr fontId="2" type="noConversion"/>
  </si>
  <si>
    <t>Coils revealed to be labeled with the wording “---------, T.P. Subcharoen Co.,Ltd., Bangkok, Made in Taiwan, R.O.C., etc.” at the exterior surface each.</t>
    <phoneticPr fontId="2" type="noConversion"/>
  </si>
  <si>
    <t>COLD ROLLED STAINLESS STEEL IN COIL NO. 2B FINISH</t>
    <phoneticPr fontId="2" type="noConversion"/>
  </si>
  <si>
    <t>Guangzhou Kyh Metal Co., Ltd., China</t>
    <phoneticPr fontId="2" type="noConversion"/>
  </si>
  <si>
    <t>Hong Kong</t>
    <phoneticPr fontId="2" type="noConversion"/>
  </si>
  <si>
    <t>Key Bridge Co., Ltd., Kaohsiung</t>
    <phoneticPr fontId="2" type="noConversion"/>
  </si>
  <si>
    <t>Coils revealed to be labeled with the wording “---------, STLS, Port Klang, No., Made in Taiwan, etc.” at the exterior surface each.</t>
    <phoneticPr fontId="2" type="noConversion"/>
  </si>
  <si>
    <t>Port Klang, Malaysia</t>
    <phoneticPr fontId="2" type="noConversion"/>
  </si>
  <si>
    <t>HOT / COLD ROLLED STAINLESS STEEL SHEET IN COIL</t>
    <phoneticPr fontId="2" type="noConversion"/>
  </si>
  <si>
    <t>C</t>
    <phoneticPr fontId="2" type="noConversion"/>
  </si>
  <si>
    <t>B</t>
    <phoneticPr fontId="2" type="noConversion"/>
  </si>
  <si>
    <t>COLD ROLLED STAINLESS STEEL SHEET IN COIL NO. 2B FINISH ASTM A240M-20A 304/304L</t>
    <phoneticPr fontId="2" type="noConversion"/>
  </si>
  <si>
    <t>Penang Port, Malaysia</t>
    <phoneticPr fontId="2" type="noConversion"/>
  </si>
  <si>
    <t>Alumtan Union Metal Sdn Bhd., Penang Malaysia</t>
    <phoneticPr fontId="2" type="noConversion"/>
  </si>
  <si>
    <t>Coils revealed to be labeled with the wording “---------, Hanoi Steel Center, Haiphong, No., Made in Taiwan, etc.” at the exterior surface each.</t>
    <phoneticPr fontId="2" type="noConversion"/>
  </si>
  <si>
    <t>Coils revealed to be labeled with the wording “---------, Alumtan, Penang, No., Made in Taiwan, etc.” at the exterior surface each.</t>
    <phoneticPr fontId="2" type="noConversion"/>
  </si>
  <si>
    <t>Haiphong, Vietnam</t>
    <phoneticPr fontId="2" type="noConversion"/>
  </si>
  <si>
    <t>Sumitomo Corporation Taiwan, Taipei</t>
    <phoneticPr fontId="2" type="noConversion"/>
  </si>
  <si>
    <t>COLD ROLLED STAINLESS STEEL SHEET IN COIL JIS G4305 SUS 430-2B</t>
    <phoneticPr fontId="2" type="noConversion"/>
  </si>
  <si>
    <t>Coils revealed to be labeled with the wording “---------, Hanoi Steel Center, PO No., Haiphong, No., Made in Taiwan, etc.” on surface.</t>
    <phoneticPr fontId="2" type="noConversion"/>
  </si>
  <si>
    <t>YOSHU (Thailand) Co., Ltd., Bangkok 10110</t>
    <phoneticPr fontId="2" type="noConversion"/>
  </si>
  <si>
    <t>COLD ROLLED STAINLESS STEEL SHEET IN COIL SLIT EDGE</t>
    <phoneticPr fontId="2" type="noConversion"/>
  </si>
  <si>
    <t>Bangkok, Thailand</t>
    <phoneticPr fontId="2" type="noConversion"/>
  </si>
  <si>
    <t>Coils revealed to be labeled with the wording “---------, YOSHU (Thailand), Bangkok, No., Made in Taiwan, etc.” on surface.</t>
    <phoneticPr fontId="2" type="noConversion"/>
  </si>
  <si>
    <t>Chiba, Japan</t>
    <phoneticPr fontId="2" type="noConversion"/>
  </si>
  <si>
    <t>Iwatani Corporation, Tokyo 105-8458 Japan</t>
    <phoneticPr fontId="2" type="noConversion"/>
  </si>
  <si>
    <t>Nhava Sheva</t>
    <phoneticPr fontId="2" type="noConversion"/>
  </si>
  <si>
    <t>Saraswati Steel India, Mumbai-400004</t>
    <phoneticPr fontId="2" type="noConversion"/>
  </si>
  <si>
    <t>Coils revealed to be labeled with the wording “-------, Saraswati, Nhava Sheva, No., Made in Taiwan, etc.” on surface.</t>
    <phoneticPr fontId="2" type="noConversion"/>
  </si>
  <si>
    <t>STAINLESS STEEL COLD ROLLED COILS,</t>
    <phoneticPr fontId="2" type="noConversion"/>
  </si>
  <si>
    <t>Koden International Korea Co., Gangnam-Gu</t>
    <phoneticPr fontId="2" type="noConversion"/>
  </si>
  <si>
    <t>Slab revealed to be labeled with the wording “---------, Koden, Busan, No., Made in Taiwan, etc.” at the exterior surface.</t>
    <phoneticPr fontId="2" type="noConversion"/>
  </si>
  <si>
    <t>Busan Port, South Korea</t>
    <phoneticPr fontId="2" type="noConversion"/>
  </si>
  <si>
    <t>STAINLESS STEEL COILS</t>
    <phoneticPr fontId="2" type="noConversion"/>
  </si>
  <si>
    <t>STAINLESS STEEL COILS GRADE 316L NO2B 2D FINISH</t>
    <phoneticPr fontId="2" type="noConversion"/>
  </si>
  <si>
    <t>Sumiputeh Steel Centre Sdn., Selangor, Malaysia</t>
    <phoneticPr fontId="2" type="noConversion"/>
  </si>
  <si>
    <t>Coils revealed to be labeled with the wording “---------, Sumiputeh, Port Klang, No., Made in Taiwan, etc.” at the exterior surface each.</t>
    <phoneticPr fontId="2" type="noConversion"/>
  </si>
  <si>
    <t xml:space="preserve">STAINLESS STEEL SHEET IN COIL </t>
    <phoneticPr fontId="2" type="noConversion"/>
  </si>
  <si>
    <t>KIBO Co., Ltd., Seoul, South Korea</t>
    <phoneticPr fontId="2" type="noConversion"/>
  </si>
  <si>
    <t>Coils revealed to be labeled with the wording "--------, Lucdongtam, HCMC, No., Made in Taiwan, etc.” on surface.</t>
    <phoneticPr fontId="2" type="noConversion"/>
  </si>
  <si>
    <t>Cat Lai Port, Hochiminh City, Vietnam,</t>
    <phoneticPr fontId="2" type="noConversion"/>
  </si>
  <si>
    <t>Bayar Paslanmaz Celik A.S., Istanbul Turkey</t>
    <phoneticPr fontId="2" type="noConversion"/>
  </si>
  <si>
    <t>Ambarli, Istanbul, Turkey</t>
    <phoneticPr fontId="2" type="noConversion"/>
  </si>
  <si>
    <t>STAINLESS STEEL COLD ROLLED COILS</t>
    <phoneticPr fontId="2" type="noConversion"/>
  </si>
  <si>
    <t>Coils revealed to be labeled with the wording “---------, Yankong, Port Klang, No., Made in Taiwan, etc.” at the exterior surface each.</t>
    <phoneticPr fontId="2" type="noConversion"/>
  </si>
  <si>
    <t>Yankong Stainless Sdn Bhd.</t>
    <phoneticPr fontId="2" type="noConversion"/>
  </si>
  <si>
    <t>STAINLESS STEEL COLD ROLLED</t>
    <phoneticPr fontId="2" type="noConversion"/>
  </si>
  <si>
    <t>Yieh Corporation Limited C/O, Kaohsiung</t>
    <phoneticPr fontId="2" type="noConversion"/>
  </si>
  <si>
    <t>La Spezia Port, Italy</t>
    <phoneticPr fontId="2" type="noConversion"/>
  </si>
  <si>
    <t>Expertinox Ventures Pte Ltd., Singapore</t>
    <phoneticPr fontId="2" type="noConversion"/>
  </si>
  <si>
    <t>Coils revealed to be labeled with the wording “---------, Size/Grade/Weight/Finish/Heat No./Expertinox, Nhava Sheva, Made in Taiwan, etc.” at the exterior surface each.</t>
    <phoneticPr fontId="2" type="noConversion"/>
  </si>
  <si>
    <t>Nhava Sheva, India</t>
    <phoneticPr fontId="2" type="noConversion"/>
  </si>
  <si>
    <t>STAINLESS STEEL STRIP IN COIL FOR REROLLING USAGE (MILL EDGE) GRADE SUS301 FINISH 2D</t>
    <phoneticPr fontId="2" type="noConversion"/>
  </si>
  <si>
    <t>Walsin Precision Technology, 75450 Melaka, Malaysia</t>
    <phoneticPr fontId="2" type="noConversion"/>
  </si>
  <si>
    <t>Coils revealed to be labeled with the wording “---------, Walsin, Port Klang, No., Made in Taiwan, etc.” at the exterior surface each.</t>
    <phoneticPr fontId="2" type="noConversion"/>
  </si>
  <si>
    <t>Lachesis Co., Ltd., Jongnogu Seoul Korea</t>
    <phoneticPr fontId="2" type="noConversion"/>
  </si>
  <si>
    <t>Busan, Korean Port</t>
    <phoneticPr fontId="2" type="noConversion"/>
  </si>
  <si>
    <t>COLD ROLLED STAINLESS STEEL SHEET IN COIL NO. 2B FINISH</t>
    <phoneticPr fontId="2" type="noConversion"/>
  </si>
  <si>
    <t>Heap Sing Huat Metals</t>
    <phoneticPr fontId="2" type="noConversion"/>
  </si>
  <si>
    <t>Coils revealed to be labeled with the wording “---------, Heap Sing Huat, Penang, No., Made in Taiwan, etc.” at the exterior surface each.</t>
    <phoneticPr fontId="2" type="noConversion"/>
  </si>
  <si>
    <t>HOT ROLLED STAINLESS STEEL SHEET IN COIL</t>
    <phoneticPr fontId="2" type="noConversion"/>
  </si>
  <si>
    <t>Metal One Corporation, Tokyo 100-7032, Japan</t>
    <phoneticPr fontId="2" type="noConversion"/>
  </si>
  <si>
    <t>Hochiminh City, Vietnam (Cat Lai)</t>
    <phoneticPr fontId="2" type="noConversion"/>
  </si>
  <si>
    <t>Coils revealed to be labeled with the wording “---------, Benkan Vietnam, Long An, Case No., Taiwan, etc.” at the exterior surface each.</t>
    <phoneticPr fontId="2" type="noConversion"/>
  </si>
  <si>
    <r>
      <rPr>
        <sz val="11"/>
        <rFont val="細明體"/>
        <family val="2"/>
        <charset val="136"/>
      </rPr>
      <t>屏萬企業</t>
    </r>
    <phoneticPr fontId="2" type="noConversion"/>
  </si>
  <si>
    <t>Best Win Corporation</t>
    <phoneticPr fontId="2" type="noConversion"/>
  </si>
  <si>
    <t>Coils revealed to be labeled with the wording“---------, BW, Size, Coil No., N.W., G.W., Made in Taiwan, etc.” on surface.</t>
    <phoneticPr fontId="2" type="noConversion"/>
  </si>
  <si>
    <t>Hochiminh, Vietnam</t>
    <phoneticPr fontId="2" type="noConversion"/>
  </si>
  <si>
    <t>STAINLESS STEEL COILS HS CODE:7219 1390</t>
    <phoneticPr fontId="2" type="noConversion"/>
  </si>
  <si>
    <t>GKY Enterprise Sdn Bhd., Selangor Malaysia</t>
    <phoneticPr fontId="2" type="noConversion"/>
  </si>
  <si>
    <t>Coils revealed to be labeled with the wording  “-------, GKY, Port Klang, No., Made in Taiwan, etc.” on surface.</t>
    <phoneticPr fontId="2" type="noConversion"/>
  </si>
  <si>
    <t>TSA Industries Sdn Bhd., Selangor Malaysia</t>
    <phoneticPr fontId="2" type="noConversion"/>
  </si>
  <si>
    <t>Coils revealed to be labeled with the wording “---------, TSA, Port Klang, No., Made in Taiwan, etc.” at the exterior surface each.</t>
    <phoneticPr fontId="2" type="noConversion"/>
  </si>
  <si>
    <t>YU</t>
    <phoneticPr fontId="2" type="noConversion"/>
  </si>
  <si>
    <t>Kaohsiung Taiwan Port</t>
    <phoneticPr fontId="2" type="noConversion"/>
  </si>
  <si>
    <t>參考的卸貨港</t>
    <phoneticPr fontId="2" type="noConversion"/>
  </si>
  <si>
    <t>參考的貨名</t>
    <phoneticPr fontId="2" type="noConversion"/>
  </si>
  <si>
    <t>參考的Marks</t>
    <phoneticPr fontId="2" type="noConversion"/>
  </si>
  <si>
    <r>
      <rPr>
        <sz val="11"/>
        <color theme="1"/>
        <rFont val="細明體"/>
        <family val="2"/>
        <charset val="136"/>
      </rPr>
      <t>包材</t>
    </r>
    <r>
      <rPr>
        <sz val="11"/>
        <color theme="1"/>
        <rFont val="Arial"/>
        <family val="2"/>
      </rPr>
      <t>:</t>
    </r>
    <phoneticPr fontId="2" type="noConversion"/>
  </si>
  <si>
    <t>平放</t>
    <phoneticPr fontId="2" type="noConversion"/>
  </si>
  <si>
    <t>直立</t>
    <phoneticPr fontId="2" type="noConversion"/>
  </si>
  <si>
    <t xml:space="preserve">eye </t>
    <phoneticPr fontId="2" type="noConversion"/>
  </si>
  <si>
    <t>cycle</t>
    <phoneticPr fontId="2" type="noConversion"/>
  </si>
  <si>
    <t>Each horizontal coil appeared to be wrapped in a metal envelope with 4 outer and core protection steel rings, then secured 6 radial and 3 cycle flat metal strapping bands.</t>
    <phoneticPr fontId="2" type="noConversion"/>
  </si>
  <si>
    <t>moisture-resistance</t>
    <phoneticPr fontId="2" type="noConversion"/>
  </si>
  <si>
    <t>metal</t>
    <phoneticPr fontId="2" type="noConversion"/>
  </si>
  <si>
    <r>
      <rPr>
        <sz val="11"/>
        <color theme="1"/>
        <rFont val="新細明體"/>
        <family val="2"/>
        <charset val="136"/>
      </rPr>
      <t>平放</t>
    </r>
    <r>
      <rPr>
        <sz val="11"/>
        <color theme="1"/>
        <rFont val="Arial"/>
        <family val="2"/>
      </rPr>
      <t>&amp;</t>
    </r>
    <r>
      <rPr>
        <sz val="11"/>
        <color theme="1"/>
        <rFont val="新細明體"/>
        <family val="2"/>
        <charset val="136"/>
      </rPr>
      <t>直立</t>
    </r>
    <phoneticPr fontId="2" type="noConversion"/>
  </si>
  <si>
    <t>參考的packing</t>
    <phoneticPr fontId="2" type="noConversion"/>
  </si>
  <si>
    <t>Rain time</t>
    <phoneticPr fontId="61" type="noConversion"/>
  </si>
  <si>
    <t>Wetted coils</t>
    <phoneticPr fontId="61" type="noConversion"/>
  </si>
  <si>
    <t>Minerals Services</t>
    <phoneticPr fontId="2" type="noConversion"/>
  </si>
  <si>
    <t>INSPECTION REPORT</t>
    <phoneticPr fontId="2" type="noConversion"/>
  </si>
  <si>
    <t>Cargo:</t>
    <phoneticPr fontId="2" type="noConversion"/>
  </si>
  <si>
    <r>
      <t xml:space="preserve"> )</t>
    </r>
    <r>
      <rPr>
        <u/>
        <sz val="11"/>
        <color theme="1"/>
        <rFont val="新細明體"/>
        <family val="2"/>
        <charset val="136"/>
      </rPr>
      <t>條平</t>
    </r>
    <r>
      <rPr>
        <u/>
        <sz val="11"/>
        <color theme="1"/>
        <rFont val="微軟正黑體"/>
        <family val="2"/>
        <charset val="136"/>
      </rPr>
      <t>行墊木並以木契固定</t>
    </r>
    <phoneticPr fontId="2" type="noConversion"/>
  </si>
  <si>
    <t>堆高機作業:</t>
  </si>
  <si>
    <t xml:space="preserve">    </t>
  </si>
  <si>
    <t>MARK:</t>
  </si>
  <si>
    <t>貨 況:</t>
  </si>
  <si>
    <t>空 櫃:</t>
  </si>
  <si>
    <t>固 定:</t>
  </si>
  <si>
    <t xml:space="preserve">
	During the entire course of stuffing, steel coils where accessible were visually inspected on the exterior, and found to be appeared in general good order.</t>
    <phoneticPr fontId="2" type="noConversion"/>
  </si>
  <si>
    <t>one</t>
    <phoneticPr fontId="2" type="noConversion"/>
  </si>
  <si>
    <t>two</t>
    <phoneticPr fontId="2" type="noConversion"/>
  </si>
  <si>
    <t>three</t>
    <phoneticPr fontId="2" type="noConversion"/>
  </si>
  <si>
    <t>鋼索</t>
    <phoneticPr fontId="2" type="noConversion"/>
  </si>
  <si>
    <t>鐵帶</t>
    <phoneticPr fontId="2" type="noConversion"/>
  </si>
  <si>
    <t>尼龍</t>
    <phoneticPr fontId="2" type="noConversion"/>
  </si>
  <si>
    <t>steel wire ropes</t>
    <phoneticPr fontId="2" type="noConversion"/>
  </si>
  <si>
    <t>metal flat bands</t>
    <phoneticPr fontId="2" type="noConversion"/>
  </si>
  <si>
    <t>nylon span</t>
    <phoneticPr fontId="2" type="noConversion"/>
  </si>
  <si>
    <t>(是)</t>
    <phoneticPr fontId="2" type="noConversion"/>
  </si>
  <si>
    <t>(否)</t>
    <phoneticPr fontId="2" type="noConversion"/>
  </si>
  <si>
    <r>
      <t xml:space="preserve"> )</t>
    </r>
    <r>
      <rPr>
        <sz val="11"/>
        <color theme="1"/>
        <rFont val="新細明體"/>
        <family val="2"/>
        <charset val="136"/>
      </rPr>
      <t>條</t>
    </r>
    <phoneticPr fontId="2" type="noConversion"/>
  </si>
  <si>
    <t>metal / moisture-resistance</t>
    <phoneticPr fontId="2" type="noConversion"/>
  </si>
  <si>
    <t>Each coil is stowed in rows on the floorboards of each container, and wedges with wooden pieces against the containers' panels prevent the coils from shifting during the voyage.</t>
    <phoneticPr fontId="2" type="noConversion"/>
  </si>
  <si>
    <t>REMARKS</t>
    <phoneticPr fontId="2" type="noConversion"/>
  </si>
  <si>
    <t>oOo</t>
    <phoneticPr fontId="2" type="noConversion"/>
  </si>
  <si>
    <t>W.O. No. MIN-</t>
    <phoneticPr fontId="61" type="noConversion"/>
  </si>
  <si>
    <t>Coils revealed to be labeled with the wording “--------, IC No. IB No., Funabashi, No., Made in Taiwan, Net, Gross, etc.” at one side and on core package respectively.</t>
    <phoneticPr fontId="2" type="noConversion"/>
  </si>
  <si>
    <t>Cloudy</t>
  </si>
  <si>
    <t>(否)</t>
  </si>
  <si>
    <t>1110-1111</t>
    <phoneticPr fontId="2" type="noConversion"/>
  </si>
  <si>
    <r>
      <t xml:space="preserve">) </t>
    </r>
    <r>
      <rPr>
        <u/>
        <sz val="11"/>
        <color theme="1"/>
        <rFont val="微軟正黑體"/>
        <family val="2"/>
        <charset val="136"/>
      </rPr>
      <t>綑綁</t>
    </r>
    <phoneticPr fontId="2" type="noConversion"/>
  </si>
  <si>
    <t>MING</t>
    <phoneticPr fontId="2" type="noConversion"/>
  </si>
  <si>
    <r>
      <rPr>
        <sz val="11"/>
        <color theme="1"/>
        <rFont val="新細明體"/>
        <family val="1"/>
        <charset val="136"/>
      </rPr>
      <t>破</t>
    </r>
    <phoneticPr fontId="96" type="noConversion"/>
  </si>
  <si>
    <r>
      <rPr>
        <sz val="11"/>
        <color theme="1"/>
        <rFont val="新細明體"/>
        <family val="1"/>
        <charset val="136"/>
      </rPr>
      <t>彎</t>
    </r>
    <phoneticPr fontId="96" type="noConversion"/>
  </si>
  <si>
    <r>
      <rPr>
        <sz val="11"/>
        <color theme="1"/>
        <rFont val="新細明體"/>
        <family val="1"/>
        <charset val="136"/>
      </rPr>
      <t>凹</t>
    </r>
    <phoneticPr fontId="96" type="noConversion"/>
  </si>
  <si>
    <r>
      <rPr>
        <sz val="11"/>
        <color theme="1"/>
        <rFont val="新細明體"/>
        <family val="1"/>
        <charset val="136"/>
      </rPr>
      <t>脫</t>
    </r>
    <phoneticPr fontId="96" type="noConversion"/>
  </si>
  <si>
    <r>
      <rPr>
        <sz val="11"/>
        <color theme="1"/>
        <rFont val="新細明體"/>
        <family val="1"/>
        <charset val="136"/>
      </rPr>
      <t>皺</t>
    </r>
    <phoneticPr fontId="96" type="noConversion"/>
  </si>
  <si>
    <r>
      <rPr>
        <sz val="11"/>
        <color theme="1"/>
        <rFont val="新細明體"/>
        <family val="1"/>
        <charset val="136"/>
      </rPr>
      <t>刮</t>
    </r>
    <phoneticPr fontId="96" type="noConversion"/>
  </si>
  <si>
    <r>
      <rPr>
        <sz val="11"/>
        <color theme="1"/>
        <rFont val="新細明體"/>
        <family val="1"/>
        <charset val="136"/>
      </rPr>
      <t>凸</t>
    </r>
    <phoneticPr fontId="96" type="noConversion"/>
  </si>
  <si>
    <t>鏽</t>
    <phoneticPr fontId="96" type="noConversion"/>
  </si>
  <si>
    <t>dented</t>
    <phoneticPr fontId="2" type="noConversion"/>
  </si>
  <si>
    <t>bent</t>
    <phoneticPr fontId="2" type="noConversion"/>
  </si>
  <si>
    <t>broken</t>
    <phoneticPr fontId="2" type="noConversion"/>
  </si>
  <si>
    <t>loosened</t>
    <phoneticPr fontId="2" type="noConversion"/>
  </si>
  <si>
    <t>wrinkled</t>
    <phoneticPr fontId="2" type="noConversion"/>
  </si>
  <si>
    <t>scratches</t>
    <phoneticPr fontId="2" type="noConversion"/>
  </si>
  <si>
    <t>撕</t>
    <phoneticPr fontId="96" type="noConversion"/>
  </si>
  <si>
    <t>telescoped</t>
    <phoneticPr fontId="2" type="noConversion"/>
  </si>
  <si>
    <t>rusted</t>
    <phoneticPr fontId="2" type="noConversion"/>
  </si>
  <si>
    <t>油</t>
    <phoneticPr fontId="96" type="noConversion"/>
  </si>
  <si>
    <t>oil-stained</t>
    <phoneticPr fontId="96" type="noConversion"/>
  </si>
  <si>
    <t>側</t>
    <phoneticPr fontId="96" type="noConversion"/>
  </si>
  <si>
    <t>V</t>
    <phoneticPr fontId="96" type="noConversion"/>
  </si>
  <si>
    <t>範圍</t>
    <phoneticPr fontId="96" type="noConversion"/>
  </si>
  <si>
    <t>包裝帶</t>
    <phoneticPr fontId="96" type="noConversion"/>
  </si>
  <si>
    <t>內</t>
    <phoneticPr fontId="96" type="noConversion"/>
  </si>
  <si>
    <t>外</t>
    <phoneticPr fontId="96" type="noConversion"/>
  </si>
  <si>
    <t>eye/cycle packing metal/plastic band(s).</t>
    <phoneticPr fontId="96" type="noConversion"/>
  </si>
  <si>
    <t>側內</t>
    <phoneticPr fontId="96" type="noConversion"/>
  </si>
  <si>
    <t>側外</t>
    <phoneticPr fontId="96" type="noConversion"/>
  </si>
  <si>
    <t>at one side edge of inner windings.</t>
    <phoneticPr fontId="96" type="noConversion"/>
  </si>
  <si>
    <t>at one side edge of outer windings.</t>
    <phoneticPr fontId="96" type="noConversion"/>
  </si>
  <si>
    <t>on outer surface.</t>
    <phoneticPr fontId="96" type="noConversion"/>
  </si>
  <si>
    <t>at eye surface.</t>
    <phoneticPr fontId="96" type="noConversion"/>
  </si>
  <si>
    <t>側中</t>
    <phoneticPr fontId="96" type="noConversion"/>
  </si>
  <si>
    <t>at one side edge of middle windings.</t>
    <phoneticPr fontId="96" type="noConversion"/>
  </si>
  <si>
    <t>裸裝</t>
    <phoneticPr fontId="96" type="noConversion"/>
  </si>
  <si>
    <t>torn</t>
    <phoneticPr fontId="2" type="noConversion"/>
  </si>
  <si>
    <t>上</t>
    <phoneticPr fontId="96" type="noConversion"/>
  </si>
  <si>
    <t>下</t>
    <phoneticPr fontId="96" type="noConversion"/>
  </si>
  <si>
    <t>底</t>
    <phoneticPr fontId="96" type="noConversion"/>
  </si>
  <si>
    <t>包裝（H）</t>
    <phoneticPr fontId="96" type="noConversion"/>
  </si>
  <si>
    <t>包裝（V）</t>
    <phoneticPr fontId="96" type="noConversion"/>
  </si>
  <si>
    <t xml:space="preserve"> </t>
    <phoneticPr fontId="96" type="noConversion"/>
  </si>
  <si>
    <r>
      <t>Loading Inspection Field Report (damage</t>
    </r>
    <r>
      <rPr>
        <b/>
        <u/>
        <sz val="11"/>
        <color theme="1"/>
        <rFont val="新細明體"/>
        <family val="2"/>
        <charset val="136"/>
      </rPr>
      <t>表格</t>
    </r>
    <r>
      <rPr>
        <b/>
        <u/>
        <sz val="11"/>
        <color theme="1"/>
        <rFont val="Arial"/>
        <family val="2"/>
      </rPr>
      <t>)</t>
    </r>
    <phoneticPr fontId="96" type="noConversion"/>
  </si>
  <si>
    <t>HOT-ROLLED STEEL PLAIN END E.R.W. PIPE/BPE AND/OR POST-HOT-DIP ZINC-COATED STEEL PLAIN END E.R.W. PIPE/GPE &amp; HOT-ROLLED STEEL RECTANGULAR E.R.W. TUBING/RE AND/OR HOT-ROLLED STEEL SQUARE E.R.W. TUBING/SQ</t>
    <phoneticPr fontId="2" type="noConversion"/>
  </si>
  <si>
    <t>Vancouver, BC, Canada</t>
  </si>
  <si>
    <t>Bundles revealed to be tagged with the wording “Invoice No., Vancouver, B.C., Size, Net Weight, Gross Weight, Bundle No., Order No., Pcs/Bundle, Made in Taiwan, Customer PO, Customer, etc.” at both ends respectively.</t>
    <phoneticPr fontId="2" type="noConversion"/>
  </si>
  <si>
    <t>Eternal Steel Co., Ltd.</t>
  </si>
  <si>
    <t>HOT-ROLLED STEEL PLAIN END E.R.W. PIPE/BPE</t>
    <phoneticPr fontId="2" type="noConversion"/>
  </si>
  <si>
    <t>Bundles revealed to be tagged with the wording “Invoice No., Vancouver, BC, Canada, Size, Net Weight, Gross Weight, Bundle No., Order No, Pcs/Bundle, Made in Taiwan, Cust, Cust PO, etc.” at both ends respectively.</t>
    <phoneticPr fontId="2" type="noConversion"/>
  </si>
  <si>
    <t>Salzgitter Mannesmann International GmbH</t>
  </si>
  <si>
    <t>Prime hot rolled steel plain end E.R.W. carbon standard steel pipe/BPE</t>
  </si>
  <si>
    <t>Vancouver, B.C., Canada</t>
  </si>
  <si>
    <t>Bundles revealed to be tagged with the wording “Invoice No., Vancouver, B.C., Canada, Size, Net Weight, Gross Weight, Bundle No., Order No, Pcs/Bundle, Made in Taiwan, Cust, Cust PO, etc.” and painted with color code at both ends respectively.</t>
  </si>
  <si>
    <t>Corestock Industrial Supply Ltd.</t>
  </si>
  <si>
    <t>HOT-ROLLED STEEL PLAIN END E.R.W. PIPE/BPE &amp; POST-HOT-DIP ZINC-COATED STEEL PLAIN END E.R.W. PIPE/GPE</t>
    <phoneticPr fontId="2" type="noConversion"/>
  </si>
  <si>
    <t>Bundles revealed to be tagged with the wording “Invoice No., Vancouver, BC, Canada, Size, Net Weight, Gross Weight, Bundle No., Order No, Pcs/Bundle, Made in Taiwan, Cust, etc.” at both ends respectively.</t>
    <phoneticPr fontId="2" type="noConversion"/>
  </si>
  <si>
    <t>CCD Traders</t>
  </si>
  <si>
    <t>HOT-ROLLED STEEL PLAIN END E.R.W. PIPE/BPE &amp; POST-HOT-DIP ZINC-COATED STEEL PLAIN END E.R.W. PIPE/GPE &amp; HOT-ROLLED STEEL RECTANGULAR E.R.W. TUBING/RE &amp; HOT-ROLLED STEEL SQUARE E.R.W. TUBING/SQ</t>
    <phoneticPr fontId="2" type="noConversion"/>
  </si>
  <si>
    <t>Bundles revealed to be tagged with the wording “Invoice No., Vancouver, BC, Canada, Size, Net Weight, Gross Weight, Bundle No., Order No., Pcs/Bundle, Made in Taiwan, Cust, Cust PO, etc.” at both ends respectively.</t>
    <phoneticPr fontId="2" type="noConversion"/>
  </si>
  <si>
    <t>G P Marketing International Pty Ltd, North Sydney NSW 2059</t>
  </si>
  <si>
    <t>ERW Pregalvanised SHS/RHS Tube to AS/NZS1163:2016 C350, ERW Circular Tube JIS G3445 STKRM11A</t>
    <phoneticPr fontId="2" type="noConversion"/>
  </si>
  <si>
    <t>Brisbane, Australia</t>
  </si>
  <si>
    <t>Bundles revealed to be tagged with the wording “Invoice No., Discharge port, Order No., Size, Net Weight, Gross Weight, Bundle No., Pcs/Bundle, Made in Taiwan, AS/NZS 1163-C350/C350L0, etc.”</t>
    <phoneticPr fontId="2" type="noConversion"/>
  </si>
  <si>
    <t>Optima Steel International, LLC, CA 94523</t>
  </si>
  <si>
    <t>CARBON STEEL E.R.W. PIPE WITH LACQUER COATING, PLAIN ENDS/API 5CT J55</t>
    <phoneticPr fontId="2" type="noConversion"/>
  </si>
  <si>
    <t>Houston, TX, United States</t>
  </si>
  <si>
    <t>Pipes revealed to be labelled with “Invoice No., Houston, TX, United States, Size, Net Weight, Gross Weight, Bundle No., Order No., Pcs/Bundle, Made in Taiwan, Cust, Cust PO, etc.” on the outer surface near end, then encircled a green line on circumferential surface and painted with blue code at both ends respectively.</t>
  </si>
  <si>
    <t>Commercial Steel Products, LLC, TX 75219</t>
  </si>
  <si>
    <t>Pipes revealed to be labelled with “Invoice No., Houston, TX, United States, Size, Net Weight, Gross Weight, Bundle No., Order No., Pcs/Bundle, Made in Taiwan, Cust, etc.” on the inner surface near end, and encircled a green line on circumferential surface respectively.</t>
  </si>
  <si>
    <t>Trek Metals, Inc., TX 75039</t>
  </si>
  <si>
    <t>API 5CT J55 E.R.W. PSL1 TENTH EDITION, 2018</t>
    <phoneticPr fontId="2" type="noConversion"/>
  </si>
  <si>
    <t>Duferco SA</t>
  </si>
  <si>
    <t>ERW Carbon Steel Pipe, Plain Ends Square Cut, with Mill’s Laquer Coating as per API 5CT J55 PSL-1</t>
    <phoneticPr fontId="2" type="noConversion"/>
  </si>
  <si>
    <t>Houston, USA</t>
  </si>
  <si>
    <t>Pipes revealed to be labelled with “Invoice No., Houston, USA, Size, Net Weight, Gross Weight, Bundle No., Order No., Pcs/Bundle, Made in Taiwan, Cust PO, Cust, etc.” on the outer surface near end, and encircled a green line on circumferential surface respectively.</t>
  </si>
  <si>
    <t>Thyssenkrupp Materials Trading North America, MI 48033</t>
  </si>
  <si>
    <t>CARBON STEEL E.R.W. PIPE, LACQUER COATING, PLAIN END AS PER API 5CT J55 E.R.W. PSL1 TENTHEDITION (2018)</t>
    <phoneticPr fontId="2" type="noConversion"/>
  </si>
  <si>
    <t>Houston, TX, USA</t>
  </si>
  <si>
    <t>Pipes revealed to be labelled with “Invoice No., Houston, TX, USA, Size, Net Weight, Gross Weight, Bundle No., Cust PO, Pcs/Bundle, Made in Taiwan, Thyssenkrupp Materials Trading North America PO, etc.” on the inner surface near end, and encircled a green line on circumferential surface respectively.</t>
  </si>
  <si>
    <t>Framecad Limited</t>
  </si>
  <si>
    <t>ERW PRE GALVANISED SHS/RHS TUBE</t>
    <phoneticPr fontId="2" type="noConversion"/>
  </si>
  <si>
    <t>Motukea, Papua New Guinea</t>
  </si>
  <si>
    <t>Bundles revealed to be tagged with the wording “Invoice No., Discharge port, Order No., Size, Net Weight, Gross Weight, Bundle No., Pcs/Bundle, Made in Taiwan, AS/NZS 1163-C350, etc.” near end respectively.</t>
    <phoneticPr fontId="2" type="noConversion"/>
  </si>
  <si>
    <t>Bundles revealed to be tagged with the wording “Invoice No., Vancouver, B.C., Canada, Size, Net Weight, Gross Weight, Bundle No., Order No, Pcs/Bundle, Made in Taiwan, Cust, Cust PO, etc.” and painted with color code at both ends respectively.</t>
    <phoneticPr fontId="2" type="noConversion"/>
  </si>
  <si>
    <t>JFE Shoji America, LLC</t>
  </si>
  <si>
    <t>HOT-ROLLED STEEL SQUARE E.R.W. TUBING/SQ</t>
    <phoneticPr fontId="2" type="noConversion"/>
  </si>
  <si>
    <t>Vancouver, B.C. Canada</t>
  </si>
  <si>
    <t>The shipment appeared to be tagged with the wording “Invoice No., Vancouver, B.C. Canada, Size, Net Weight, Gross Weight, Bundle No., JFE P.O. No., Pcs/Bundle, Made in Taiwan, P.O. No., Customer, etc.” at both ends respectively.</t>
    <phoneticPr fontId="2" type="noConversion"/>
  </si>
  <si>
    <t>CCD Traders / Eternal Steel Co., Ltd.</t>
  </si>
  <si>
    <t>THREADED (SCREWED) END E.R.W. PIPE/BTC &amp; CARBON STEEL E.R.W. PIPE WITH LACQUER COATING, PLAIN ENDS API 5CT J55</t>
  </si>
  <si>
    <t>The shipment in bundle revealed to be tagged with the wording “Invoice No., Vancouver, BC, Canada, Size, Net Weight, Gross Weight, Bundle No., Order No, Pcs/Bundle, Made in Taiwan, Cust, Cust PO, etc.” at both ends, while the shipment in loose was labelled the same wording on the inner surface near end, and encircled a green line on circumferential surface respectively.</t>
  </si>
  <si>
    <t>Mitsui &amp; Co. (Canada) Ltd.</t>
    <phoneticPr fontId="2" type="noConversion"/>
  </si>
  <si>
    <t>HOT-ROLLED STEEL SQUARE E.R.W. TUBING/SQ or HOT-ROLLED STEEL RECTANGULAR E.R.W. TUBING/RE</t>
    <phoneticPr fontId="2" type="noConversion"/>
  </si>
  <si>
    <t>Bundles revealed to be tagged with the wording“Invoice No., Vancouver, BC, Canada, Size, Net Weight, Gross Weight, Bundle No., Pcs/Bundle, Cust, Cust Po, Made in Taiwan, etc.” at both ends respectively.</t>
    <phoneticPr fontId="2" type="noConversion"/>
  </si>
  <si>
    <t>POST-HOT-DIP ZINC-COATED STEEL PLAIN END E.R.W. PIPE/GPE &amp; HOT-ROLLED STEEL PLAIN END E.R.W. PIPE/BPE</t>
    <phoneticPr fontId="2" type="noConversion"/>
  </si>
  <si>
    <t>The goods in bundles revealed to be tagged with the wording “Invoice No., Vancouver, BC, Canada, Size, Net Weight, Gross Weight, Bundle No., Order No, Pcs/Bundle, Made in Taiwan, Cust, Cust PO, etc.” at both ends.</t>
  </si>
  <si>
    <t>Bundles revealed to be tagged with the wording “Invoice No., Vancouver, BC, Canada, Size, Net Weight, Gross Weight, Bundle No., Order No, Pcs/Bundle, Made in Taiwan, Cust, etc.” at both ends respectively.</t>
  </si>
  <si>
    <t>Seah Steel America Inc, CA 92614</t>
  </si>
  <si>
    <t>E.R.W. API 5CT GR. J-55</t>
  </si>
  <si>
    <t>Pipes revealed to be labelled with “Invoice No., Houston, U.S.A, Size, Net Weight, Gross Weight, Bundle No., Order No., Pcs/Bundle, Made in Taiwan, Cust, etc.” on the outer surface near end, and encircled a green line on circumferential surface respectively.</t>
  </si>
  <si>
    <t>Pusan Pipe America, Inc (DBA SeAH Steel America Inc), CA 92614</t>
  </si>
  <si>
    <t>Houston, U.S.A</t>
  </si>
  <si>
    <t>SBI/Commercial Steel Products, LLC</t>
  </si>
  <si>
    <t>Carbon Steel E.R.W. Pipe with Lacquer Coating, Plain Ends/API 5CT J55</t>
    <phoneticPr fontId="2" type="noConversion"/>
  </si>
  <si>
    <t>Pipes revealed to be labelled with “Invoice No., Houston, TX, United States, Size, Net Weight, Gross Weight, Bundle No., Order No., Pcs/Bundle, Made in Taiwan, Cust, etc.” on the outer surface near end, and encircled a green line on circumferential surface respectively.</t>
  </si>
  <si>
    <t>Marsden International (NZ) Lim, Tauranga, NZ 3110</t>
  </si>
  <si>
    <t>HOT-ROLLED STEEL PLAIN END E.R.W. PIPE</t>
    <phoneticPr fontId="2" type="noConversion"/>
  </si>
  <si>
    <t>Bundles appeared to be labeled with the wording “FZP21W9B, Napier, New Zealand, Order No., Size, Net Weight, Gross Weight, Bundle No., Pcs/Bundle, Made in Taiwan, AS/NZS 1163-C350, etc.” at packing bands near one end each.</t>
  </si>
  <si>
    <t xml:space="preserve">Steel and Tube Holdings Limited, Auckland 2013 New Zealand </t>
  </si>
  <si>
    <t>COLD FORMED FROM PRE-HOT-DIP ZINC-COATED COIL - SQUARE &amp; RECTANGULAR E.R.W. PIPE/ COLD FORMED FROM HOT ROLLED COIL - SQUARE &amp; RECTANGULAR E.R.W. PIPE</t>
    <phoneticPr fontId="2" type="noConversion"/>
  </si>
  <si>
    <t>Lyttelton, New Zealand</t>
  </si>
  <si>
    <t>Bundles revealed to be labeled with the wording “Steel and Tube, PO No., Lyttelton / Tauranga, Invoice No., Size, etc.” at packing bands near one end each.</t>
  </si>
  <si>
    <t>COLD FORMED FROM HOT ROLLED COIL - SQUARE &amp; RECTANGULAR E.R.W. PIPE</t>
  </si>
  <si>
    <t>COLD FORMED FROM PRE-HOT-DIP ZINC-COATED COIL - SQUARE &amp; RECTANGULAR E.R.W. PIP</t>
  </si>
  <si>
    <t>Tauranga, New Zealand</t>
  </si>
  <si>
    <t>G P Marketing International Pty Ltd., Sydney NSW 2059 Australia</t>
  </si>
  <si>
    <t>ERW PREGALVANISED SHS/RHS TUBE TO AS/NZS1163: 2016 C350, ERW CIRCULAR TUBE JIS G3445 STKRM11A</t>
    <phoneticPr fontId="2" type="noConversion"/>
  </si>
  <si>
    <t xml:space="preserve">Brisbane, Australia </t>
  </si>
  <si>
    <t>Bundles revealed to be labeled with the wording “FAP2212A / FAP2213A, Brisbane, Australia, Order No., Size, Net Weight, Gross Weight, Bundle No., Pcs/Bundle, Made in Taiwan, AS/NZS 1163-C350, AS/NZS 1163-C350L0, etc.” at packing bands near one end each.</t>
  </si>
  <si>
    <t>PRE-HOT-DIP ZINC-COATED STEEL E.R.W. PIPE</t>
    <phoneticPr fontId="2" type="noConversion"/>
  </si>
  <si>
    <t>Auckland, New Zealand</t>
  </si>
  <si>
    <t>Bundles revealed to be labeled with the wording “Invoice No., Auckland / Wellington, New Zealand, Order No., Size, Net Weight, Gross Weight, Bundle No., Pcs/ Bundle, Made in Taiwan, AS/NZS 1163-C350, etc.” at packing bands near one end each.</t>
  </si>
  <si>
    <t>POST-HOT-DIP ZINC-COATED STEEL E.R.W. PIPE</t>
    <phoneticPr fontId="2" type="noConversion"/>
  </si>
  <si>
    <t>Wellington, New Zealand</t>
  </si>
  <si>
    <t>Macsteel International Australia Pty Ltd., VIC, 3121, Australia</t>
  </si>
  <si>
    <t>PRE-HOT-DIP ZINC-COATED STEEL SQUARE AND RECTANGULAR ERW PIPE TO AS/NZS 1163: 2016 C350</t>
    <phoneticPr fontId="2" type="noConversion"/>
  </si>
  <si>
    <t>Sydney, Australia</t>
  </si>
  <si>
    <t>Bundles revealed to be labeled with the wording “FAP2226A, Sydney, Australia, Order No. 179610, Size, Net Weight, Gross Weight, Bundle No., Pcs/Bundle, Made in Taiwan, AS/NZS 1163-C350, etc.” at packing bands near one end each.</t>
  </si>
  <si>
    <t>Tiger Sangyo Co., Ltd., Okinawa, Japan, 904-2234</t>
  </si>
  <si>
    <t>PRE-HOT-DIP ZINC-COATED STEEL SQUARE ERW PIPE JIS G 3466 STKR490 N221108-1</t>
    <phoneticPr fontId="2" type="noConversion"/>
  </si>
  <si>
    <t>Osaka, Japan</t>
  </si>
  <si>
    <t>Bundles appeared to be labeled with the wording “FJP2216A, Osaka, Japan, Size, Net Weight, Gross Weight, Bundle No., Cust PO:, Pcs/Bundle, Made in Taiwan, etc.” at packing bands near one end each.</t>
  </si>
  <si>
    <t>Seeing Industrial Corp., Kaohsiung</t>
  </si>
  <si>
    <t>ERW CARBON STEEL PIPE SPEC TO JIS G3466, STK400 (WITH JIS MARK)</t>
    <phoneticPr fontId="2" type="noConversion"/>
  </si>
  <si>
    <t>Manila, Philippines</t>
  </si>
  <si>
    <t>Bundles appeared to be labeled with the wording “FVP21W7A, Manila, Philippines, Size, Net Weight, Gross Weight, Bundle No., Order No., Pcs/Bundle, Made in Taiwan, Cust PO: 082622-50, etc.” at packing bands near one end each.</t>
  </si>
  <si>
    <t>Y.M. Steel Co., Ltd., Osaka Japan</t>
  </si>
  <si>
    <t>HOT-ROLLED STEEL SQUARE E.R.W. TUBE</t>
    <phoneticPr fontId="2" type="noConversion"/>
  </si>
  <si>
    <t>Bundles appeared to be labeled with the wording “FJP2222, Osaka, Japan, Size, Net Weight, Gross Weight, Bundle No., Pcs/Bundle, Made in Taiwan, etc.” at packing bands near one end each.</t>
  </si>
  <si>
    <t>Thai Benkan Co., Ltd., Samutprakarn 10130, Thailand</t>
  </si>
  <si>
    <t>ERW CARBON STEEL PIPE SPEC: JIS G 3452 SGP</t>
    <phoneticPr fontId="2" type="noConversion"/>
  </si>
  <si>
    <t>Bundles appeared to be labeled with the wording “FPP2245, TBC, Bangkok, CS22093, Size, Pkg No., Made in Taiwan, etc.” at packing bands near one end each.</t>
  </si>
  <si>
    <t>Innomax Co., Ltd., British Virgin Islands</t>
  </si>
  <si>
    <t>Osaka Japan</t>
    <phoneticPr fontId="2" type="noConversion"/>
  </si>
  <si>
    <t>Framecad Limited, Auckland New Zealand/NZ</t>
  </si>
  <si>
    <t>ERW PRE GALVANISED SHS/RHS TUBE TO AS/NZS 1163: 2016 C350 AND/OR SYS 1163 C350</t>
    <phoneticPr fontId="2" type="noConversion"/>
  </si>
  <si>
    <t>Bundles revealed to be labeled with the wording “Invoice No., Motukea, Papua New Guinea, Order No., Size, Net Weight, Gross Weight, Bundle No., Pcs/Bundle, Made in Taiwan, AS/NZS 1163-C350, etc.” at packing bands near one end each.</t>
  </si>
  <si>
    <t>Peak Products, BC V7A5E2 CA</t>
  </si>
  <si>
    <t xml:space="preserve">PRE-HOT-DIP ZINC-COATED STEEL PLAIN END E.R.W. PIPE/GPE </t>
    <phoneticPr fontId="2" type="noConversion"/>
  </si>
  <si>
    <t>Bundles appeared to be labeled with the wording “FCP31Z2, Vancouver, BC, Canada, Size, Net Weight, Gross Weight, Bundle No., Order No., Pcs/Bundle, Made in Taiwan, Customer Peak Products, etc.” at packing bands near one end each.</t>
  </si>
  <si>
    <t>Hanwa Co., Ltd., Tokyo 104-8429, Japan</t>
    <phoneticPr fontId="2" type="noConversion"/>
  </si>
  <si>
    <t>Tokyo Port, Japan</t>
    <phoneticPr fontId="2" type="noConversion"/>
  </si>
  <si>
    <t>Bundles appeared to be labeled with the wording “PO NO. 23KE-8397, JIS G 3444 STK490, Size, Plain End or/and Beveled End, Shin Yang Steel, Made in Taiwan, etc.” at packing bands near one end each</t>
  </si>
  <si>
    <t>W M S Co., Ltd., Osaka, Japan</t>
  </si>
  <si>
    <t xml:space="preserve">HOT-ROLLED STEEL PLAIN END E.R.W. PIPE JIS G 3444 STK490 </t>
    <phoneticPr fontId="2" type="noConversion"/>
  </si>
  <si>
    <t>Moji, Japan</t>
  </si>
  <si>
    <t>Bundles appeared to be labeled with the wording “FJP32C2, Moji, Japan, Size, Net Weight, Gross Weight, Bundle No., Pcs/Bundle, Made in Taiwan, etc.” at packing bands near one end each.</t>
  </si>
  <si>
    <t>Nippon Steel Trading (Thailand) Co., Ltd., Bangkok 10260, Thailand</t>
  </si>
  <si>
    <t>Bangkok, Thiland</t>
  </si>
  <si>
    <t>Bundles revealed to be labeled with the wording “Benkan Vietnam, P.O.No., Net Weight, Gross Weight, Made in Taiwan, etc.” at packing bands near one end.</t>
  </si>
  <si>
    <t>Stemcor USA Inc., FL 33309-6161, USA</t>
  </si>
  <si>
    <t>PRE-HOT-DIP ZINC-COATED STEEL SWAGED E.R.W. PIPE/SWP SYS EN 10255 S195T Z275</t>
    <phoneticPr fontId="2" type="noConversion"/>
  </si>
  <si>
    <t>Bundles appeared to be labeled with the wording “FCP3283, Vancouver, BC, Canada, Size, Net Weight, Gross Weight, Bundle No., Order No. EXP-2037, Pcs/Bundle, Made in Taiwan, Cust: NAP Steel-Vancouver, Cust PO: 407887, etc.” at packing bands near one end each.</t>
  </si>
  <si>
    <t>ERW CARBON STEEL PIPE SPEC: JIS G 3452 SGP</t>
  </si>
  <si>
    <t>Bangkok, Thailand</t>
  </si>
  <si>
    <t>Bundles appeared to be labeled with the wording “FPP32E1, TBC, Bangkok, CS23064, Size, Pkg No., Made in Taiwan, etc.” at packing bands near one end each.</t>
  </si>
  <si>
    <t>Olbert Metal Sales Limited, Mississauga Ontario Canada</t>
    <phoneticPr fontId="2" type="noConversion"/>
  </si>
  <si>
    <t>Coils revealed to be labeled with the wording “---------, Olbert, PO No. , No., Made in Taiwan, R.O.C., etc.” at the exterior surface each.</t>
    <phoneticPr fontId="2" type="noConversion"/>
  </si>
  <si>
    <t>Coils revealed to be labeled with the wording “---------, Guangzhou Kyh Metal, invoice No., No., Made in Taiwan, etc.” at the exterior surface each.</t>
    <phoneticPr fontId="2" type="noConversion"/>
  </si>
  <si>
    <t>Coils revealed to be labeled with the wording “-------, IC No., Chiba, No., Made in Taiwan, Net, Gross, etc.” on surface.</t>
    <phoneticPr fontId="2" type="noConversion"/>
  </si>
  <si>
    <t>Coils revealed to be labeled with the wording “--------, Grade, Size, N.W., G.W., MIK No., Made in Taiwan, etc.” at the exterior surface each.</t>
    <phoneticPr fontId="2" type="noConversion"/>
  </si>
  <si>
    <t>Coils revealed to be labeled with the wording “---------, Steel Color, La Spezia Port, Italy, Order No., No., Made in Taiwan, etc.” at the exterior surface each.</t>
    <phoneticPr fontId="2" type="noConversion"/>
  </si>
  <si>
    <t>Coils revealed to be labeled with the wording “---------, Order No.: , Quality: EN 10028 1.4301, Finish: 2D, Size:/N.W.;/G.W.:/Heat No., No., etc.” at the exterior surface each.</t>
    <phoneticPr fontId="2" type="noConversion"/>
  </si>
  <si>
    <t>COLD ROLLED STAINLESS STEEL SHEET IN COIL NO. 4 FINISH</t>
    <phoneticPr fontId="2" type="noConversion"/>
  </si>
  <si>
    <t>Montreal, Canada</t>
    <phoneticPr fontId="2" type="noConversion"/>
  </si>
  <si>
    <t>Next, 3 coils with cores toward fore and aft were stowed in the longitudinal row on these timber beams in the container. Then, wooden supports were assembled for the coils to prevent coils from tripping during transportation such as blocks and shorts chocked beneath coils, also battens and shorts shored up at gaps against between the available sides of the coils, and fore, left, right panels and the floorboards of each container so as to hinder the coils from shifting. Obviously, no coil was presented to touch the floorboards or panels of any container. (Photo No. 3-6)</t>
    <phoneticPr fontId="2" type="noConversion"/>
  </si>
  <si>
    <t>At first, each spare container was laid with two parallel lines of wooden timber beams on floors near to the longitudinal center line in order to distribute the coil weight as dunnage. (Photo No. 2)</t>
    <phoneticPr fontId="2" type="noConversion"/>
  </si>
  <si>
    <t>2 or 3 coils with 2 single lines of wooden dunnage and a rectangular wooden board (for coil weight over 12 MT only) under each coil on the wooden floorboards in each container were shored and chocked with wooden blocks and shorts against fore, left and right panels to prevent coils from tripping during the voyage. (Photo No. 3-26)</t>
  </si>
  <si>
    <t>DUFERCO SA</t>
    <phoneticPr fontId="2" type="noConversion"/>
  </si>
  <si>
    <t>Coils revealed to be labelled with the wording “DUFERCO SA, No., Made in Taiwan, R.O.C., etc.” at one side and on core package respectively.</t>
    <phoneticPr fontId="2" type="noConversion"/>
  </si>
  <si>
    <t>COLD ROLLED STAINLESS STEEL COILS</t>
    <phoneticPr fontId="2" type="noConversion"/>
  </si>
  <si>
    <t>Liverpool, United Kingdom</t>
    <phoneticPr fontId="2" type="noConversion"/>
  </si>
  <si>
    <t>The goods had been stored in a row x one tier high with dunnage and wooden wedges on the concrete ground in port godown No. 38 before the ship’s arrival. Neither visible corrosive nor chemical objects were uncovered in the vicinity. (Photo No. 1-3)</t>
    <phoneticPr fontId="2" type="noConversion"/>
  </si>
  <si>
    <t>QUANTITY</t>
  </si>
  <si>
    <t xml:space="preserve">The number of coils loaded into the ship’s cargo hold No. 3 was duly tallied to have the </t>
  </si>
  <si>
    <t>LOADED</t>
  </si>
  <si>
    <t>below outturn results:</t>
  </si>
  <si>
    <t>COLD ROLLED STAINLESS STEEL SHEET IN COIL NO. 2B FINISH</t>
    <phoneticPr fontId="2" type="noConversion"/>
  </si>
  <si>
    <t>Coils revealed to be labeled with the wording “--------, Myungjin, Incheon, No., Made in Taiwan, etc.” at one side and on core package respectively.</t>
    <phoneticPr fontId="2" type="noConversion"/>
  </si>
  <si>
    <t>Inchon, South Korea</t>
    <phoneticPr fontId="2" type="noConversion"/>
  </si>
  <si>
    <t>Myungjin Stainless Steel, Seoul 152-70 South Korea</t>
    <phoneticPr fontId="2" type="noConversion"/>
  </si>
  <si>
    <t>Esang Networks Co., Ltd., Seoul, South Korea</t>
    <phoneticPr fontId="2" type="noConversion"/>
  </si>
  <si>
    <t>Inchon Port, South Korea</t>
    <phoneticPr fontId="2" type="noConversion"/>
  </si>
  <si>
    <t>Coils revealed to be labeled with the wording “--------, Esang, Incheon, No., Made in Taiwan, etc.” at one side and on core package respectively.</t>
    <phoneticPr fontId="2" type="noConversion"/>
  </si>
  <si>
    <t>D and S Global Limited, Kaohsiung</t>
    <phoneticPr fontId="2" type="noConversion"/>
  </si>
  <si>
    <t>COLD ROLLED STAINLESS STEEL IN COILS</t>
    <phoneticPr fontId="2" type="noConversion"/>
  </si>
  <si>
    <t>Coils revealed to be labeled with the wording “--------, Incheon, Korea, Coil No., Made in Taiwan, etc.” at one side and on core package respectively.</t>
    <phoneticPr fontId="2" type="noConversion"/>
  </si>
  <si>
    <t>Incheon Port in South Korea</t>
    <phoneticPr fontId="2" type="noConversion"/>
  </si>
  <si>
    <t>HOT/COLD ROLLED STAINLESS STEEL SHEET IN COIL NO. 1/NO. 2B FINISH</t>
    <phoneticPr fontId="2" type="noConversion"/>
  </si>
  <si>
    <t>Jeil Steel Co., Ltd., Gyeonggi-Do, South Korea</t>
    <phoneticPr fontId="2" type="noConversion"/>
  </si>
  <si>
    <t>Coils revealed to be labeled with the wording “--------, Jeil Steel, Incheon, Coil No./ Size., Net Weight, Gross Weight, Made in Taiwan, etc.” at one side and on core package respectively.</t>
    <phoneticPr fontId="2" type="noConversion"/>
  </si>
  <si>
    <t>COLD ROLLED STAINLESS STEEL SHEET IN COIL NO.2B FINISH</t>
    <phoneticPr fontId="2" type="noConversion"/>
  </si>
  <si>
    <t>Coils revealed to be labelled with the wording “YUSCO, Order Reference No., Net Weight, Gross Weight, Made in Taiwan, etc.” at one side and on core package respectively.</t>
    <phoneticPr fontId="2" type="noConversion"/>
  </si>
  <si>
    <t>HOT ROLLED STAINLESS STEEL SHEET IN COIL NO.1 FINISH</t>
    <phoneticPr fontId="2" type="noConversion"/>
  </si>
  <si>
    <t>Marghera, Italy</t>
    <phoneticPr fontId="2" type="noConversion"/>
  </si>
  <si>
    <t>Coils revealed to be labelled with the wording “Job Order, Net Weight, Gross Weight, Made in Taiwan, etc.” at one side and on core package respectively.</t>
    <phoneticPr fontId="2" type="noConversion"/>
  </si>
  <si>
    <t>DK Corporation, Yeongdeungpo-Gu, South Korea</t>
    <phoneticPr fontId="2" type="noConversion"/>
  </si>
  <si>
    <t>Incheon, South Korea</t>
    <phoneticPr fontId="2" type="noConversion"/>
  </si>
  <si>
    <t>Coils revealed to be labeled with the wording “--------, DK Corporatioh, Incheon, No., Made in Taiwan, etc.” at one side and on core package respectively.</t>
    <phoneticPr fontId="2" type="noConversion"/>
  </si>
  <si>
    <t>Fivetec Enterprise Co., Ltd.</t>
    <phoneticPr fontId="2" type="noConversion"/>
  </si>
  <si>
    <t>Bangkok, Thailand</t>
    <phoneticPr fontId="2" type="noConversion"/>
  </si>
  <si>
    <t>COLD ROLLED STAINLESS STEEL SHEET IN COIL</t>
    <phoneticPr fontId="2" type="noConversion"/>
  </si>
  <si>
    <t>Coils revealed to be labeled with the wording “---------, Junglee, Bangkok, No., Made in Taiwan, etc.” at the exterior surface each.</t>
    <phoneticPr fontId="2" type="noConversion"/>
  </si>
  <si>
    <t>Key Bridge Co., Ltd., Kaohsiung</t>
    <phoneticPr fontId="2" type="noConversion"/>
  </si>
  <si>
    <t>Port Klang, Malaysia</t>
    <phoneticPr fontId="2" type="noConversion"/>
  </si>
  <si>
    <t>Coils revealed to be labeled with the wording “---------, STLS, Port Klang, No., Made in Taiwan, etc.” at the exterior surface each.</t>
    <phoneticPr fontId="2" type="noConversion"/>
  </si>
  <si>
    <t>Cheongfuli (Hong Kong) Company</t>
    <phoneticPr fontId="2" type="noConversion"/>
  </si>
  <si>
    <t>HOT / COLD ROLLED STAINLESS STEEL SHEET IN COIL 304 NO. 1/NO. 2B/BA FINISH</t>
    <phoneticPr fontId="2" type="noConversion"/>
  </si>
  <si>
    <t>Hwangkum Steel and Technology, Gyeonggi-Do, Korea</t>
    <phoneticPr fontId="2" type="noConversion"/>
  </si>
  <si>
    <t>Coils revealed to be labeled with the wording “--------, Hwang-Kum, Incheon, No., Made in Taiwan, etc.” at one side and on core package respectively.</t>
    <phoneticPr fontId="2" type="noConversion"/>
  </si>
  <si>
    <t>HOT/COLD ROLLED STAINLESS STEEL SHEET NO. 1/2B FINISH</t>
    <phoneticPr fontId="2" type="noConversion"/>
  </si>
  <si>
    <t>HOT / COLD ROLLED STAINLESS STEEL SHEET IN COIL</t>
    <phoneticPr fontId="2" type="noConversion"/>
  </si>
  <si>
    <t>KTT Steel Industries Sdn Bhd., 93050 Kuching, Sarawak, Malaysia</t>
    <phoneticPr fontId="2" type="noConversion"/>
  </si>
  <si>
    <t>Kuching Port, Sarawak, Malaysia</t>
    <phoneticPr fontId="2" type="noConversion"/>
  </si>
  <si>
    <t>Bundles revealed to be labeled with the wording “-------, KTT, Kuching, No., Made in Taiwan, etc.” at the exterior surface each.</t>
    <phoneticPr fontId="2" type="noConversion"/>
  </si>
  <si>
    <t>STAINLESS STEEL SLAB</t>
    <phoneticPr fontId="2" type="noConversion"/>
  </si>
  <si>
    <t>STAINLESS STEEL IN COIL, AISI 304 2B FINISH</t>
  </si>
  <si>
    <t>HOT ROLLED STAINLESS STEEL SHEET IN COIL NO. 1 FINISH</t>
  </si>
  <si>
    <t>HOT ROLLED STAINLESS STEEL COILS</t>
    <phoneticPr fontId="2" type="noConversion"/>
  </si>
  <si>
    <t>Coils revealed to be labeled with the wording “--------, Duferco SA, No., Made in Taiwan, R.O.C., etc.” at one side and on core package respectively.</t>
    <phoneticPr fontId="2" type="noConversion"/>
  </si>
  <si>
    <t>Osaka, Japan</t>
    <phoneticPr fontId="2" type="noConversion"/>
  </si>
  <si>
    <t>Shinko Bussan Co., Ltd</t>
    <phoneticPr fontId="2" type="noConversion"/>
  </si>
  <si>
    <t>Coils revealed to be labeled with the wording “--------, Shinko, Osaka, No., Made in Taiwan, etc.” at one side and on core package respectively.</t>
    <phoneticPr fontId="2" type="noConversion"/>
  </si>
  <si>
    <t>Y-Entex Co., Ltd.</t>
    <phoneticPr fontId="2" type="noConversion"/>
  </si>
  <si>
    <t>COLD ROLLED STAINLESS STEEL SHEET IN COIL 2B FINISH</t>
    <phoneticPr fontId="2" type="noConversion"/>
  </si>
  <si>
    <t>Coils revealed to be labeled with the wording “--------, Y-Entex, Osaka, No., Made in Taiwan, etc.” at one side and on core package respectively.</t>
    <phoneticPr fontId="2" type="noConversion"/>
  </si>
  <si>
    <t>Coils revealed to be labeled with the wording “--------, Grade, Size, N.W., G.W., MIK No., Made in Taiwan, etc.” at one side and on core package respectively.</t>
    <phoneticPr fontId="2" type="noConversion"/>
  </si>
  <si>
    <t>Iwatani Corporation</t>
    <phoneticPr fontId="2" type="noConversion"/>
  </si>
  <si>
    <t>HOT/COLD ROLLED STAINLESS STEEL SHEET IN COIL NO.1/2B FINISH</t>
    <phoneticPr fontId="2" type="noConversion"/>
  </si>
  <si>
    <t>Coils revealed to be labeled with the wording “--------, IC No./ IB No., Osaka, No., Made in Taiwan, Net, Gross, etc.” at one side and on core package respectively.</t>
    <phoneticPr fontId="2" type="noConversion"/>
  </si>
  <si>
    <t>COLD ROLLED STAINLESS STEEL SHEET IN COILS</t>
    <phoneticPr fontId="2" type="noConversion"/>
  </si>
  <si>
    <t>Pyeongtaek Port in South Korea</t>
    <phoneticPr fontId="2" type="noConversion"/>
  </si>
  <si>
    <t>Coils revealed to be labeled with the wording “--------, Pyeongtaek, Korea, Coil No., Made in Taiwan, etc.” at one side and on core package respectively.</t>
    <phoneticPr fontId="2" type="noConversion"/>
  </si>
  <si>
    <t>Nagoya, Japan</t>
    <phoneticPr fontId="2" type="noConversion"/>
  </si>
  <si>
    <t>Coils revealed to be labeled with the wording “--------, IC No. / IB No., Nagoya, No., Made in Taiwan, Net, Gross, etc.” at one side and on core package respectively.</t>
    <phoneticPr fontId="2" type="noConversion"/>
  </si>
  <si>
    <t>COLD/HOT ROLLED STAINLESS STEEL SHEET IN COIL</t>
    <phoneticPr fontId="2" type="noConversion"/>
  </si>
  <si>
    <t>Coils revealed to be labeled with the wording “--------, Shinko, Nagoya, No., Made in Taiwan, etc.” at one side and on core package respectively.</t>
    <phoneticPr fontId="2" type="noConversion"/>
  </si>
  <si>
    <t>Taiwan Marubeni-Itochu Steel, Taipei</t>
    <phoneticPr fontId="2" type="noConversion"/>
  </si>
  <si>
    <t>COLD ROLLED STAINLESS STEEL SHEET IN COIL JIS G4305, SUS304 2B FINISH</t>
    <phoneticPr fontId="2" type="noConversion"/>
  </si>
  <si>
    <t>Chiba, Japan</t>
    <phoneticPr fontId="2" type="noConversion"/>
  </si>
  <si>
    <t>Coils revealed to be labeled with the wording “---------, Grade, Size, N.W., G.W., MIK No., Made in Taiwan, etc.” at the exterior surface each.</t>
    <phoneticPr fontId="2" type="noConversion"/>
  </si>
  <si>
    <t>on one outer protection steel ring</t>
    <phoneticPr fontId="96" type="noConversion"/>
  </si>
  <si>
    <t>殼</t>
    <phoneticPr fontId="96" type="noConversion"/>
  </si>
  <si>
    <t>on one inner protection steel ring</t>
    <phoneticPr fontId="96" type="noConversion"/>
  </si>
  <si>
    <r>
      <rPr>
        <sz val="11"/>
        <rFont val="細明體"/>
        <family val="2"/>
        <charset val="136"/>
      </rPr>
      <t>檢查完成日</t>
    </r>
    <phoneticPr fontId="2" type="noConversion"/>
  </si>
  <si>
    <t>Lsi Lamiere Speciali Inox SPA, 43122 Parma Italy</t>
    <phoneticPr fontId="2" type="noConversion"/>
  </si>
  <si>
    <t>HOT ROLLED STAINLESS STEEL SHEET IN COILS, NO. 1 FINISH</t>
    <phoneticPr fontId="2" type="noConversion"/>
  </si>
  <si>
    <t>Ravenna Port, Italy</t>
    <phoneticPr fontId="2" type="noConversion"/>
  </si>
  <si>
    <t>Coils revealed to be labeled with the wording “--------, Lsi Lamiere Speciali, Ravenna Port, Italy, No., Made in Taiwan, etc.” at one side and on core package respectively.</t>
    <phoneticPr fontId="2" type="noConversion"/>
  </si>
  <si>
    <t>Marcegaglia Specialties SPA, Italy</t>
    <phoneticPr fontId="2" type="noConversion"/>
  </si>
  <si>
    <t>Coils revealed to be labeled with the wording “--------, YUSCO, Ravenna Italy, Marcegaglia, No., Made in Taiwan (R.O.C.), etc.” at one side and on core package respectively.</t>
    <phoneticPr fontId="2" type="noConversion"/>
  </si>
  <si>
    <t>HOT/COLD ROLLED STAINLESS STEEL SHEET IN COIL NO.1/2B/BA FINISH</t>
    <phoneticPr fontId="2" type="noConversion"/>
  </si>
  <si>
    <t>Marghera port, Italy</t>
    <phoneticPr fontId="2" type="noConversion"/>
  </si>
  <si>
    <t>Coils revealed to be labelled with the wording “--------, Job Order:, Net Weight, Gross Weight, Made in Taiwan, etc.” at one side and on core package respectively.</t>
    <phoneticPr fontId="2" type="noConversion"/>
  </si>
  <si>
    <t>Kentzu Steel Sdn Bhd., 55200 Kuala Lumpur Malaysia</t>
    <phoneticPr fontId="2" type="noConversion"/>
  </si>
  <si>
    <t>Cold Rolled Stainless Steel Sheets in Cut Length No. 8/BA Finish</t>
    <phoneticPr fontId="2" type="noConversion"/>
  </si>
  <si>
    <t>Bundles revealed to be labeled with the wording “------, Kentzu, Port Klang, No., Made in Taiwan, etc.” on the exterior.</t>
    <phoneticPr fontId="2" type="noConversion"/>
  </si>
  <si>
    <t>C.P.C. Inox Spa</t>
    <phoneticPr fontId="2" type="noConversion"/>
  </si>
  <si>
    <t>Ravenna port, Italy</t>
    <phoneticPr fontId="2" type="noConversion"/>
  </si>
  <si>
    <t>STAINLESS STEEL HOT ROLLED COILS, DIN EN 10088-4 1.4301/1.4307, NO.1 FINISH MILL EDGE</t>
    <phoneticPr fontId="2" type="noConversion"/>
  </si>
  <si>
    <t>Coils revealed to be labelled with the wording “--------, C.P.C. Inox Spa, Ravenna, Italy, CPC No., No., Made in Taiwan, etc.” at one side and on core package respectively.</t>
    <phoneticPr fontId="2" type="noConversion"/>
  </si>
  <si>
    <t>Nova Metale SP. Z.O.O., 87-148 Lysomice PL</t>
    <phoneticPr fontId="2" type="noConversion"/>
  </si>
  <si>
    <t>Gdynia Port, Poland</t>
    <phoneticPr fontId="2" type="noConversion"/>
  </si>
  <si>
    <t>Coils revealed to be labeled with the wording “---------, Nova Metale, Gdynia, No., Made in Taiwan, R.O.C., etc.” at the exterior surface each.</t>
    <phoneticPr fontId="2" type="noConversion"/>
  </si>
  <si>
    <t>China Steel Global Trading Corp., Kaohsiung</t>
    <phoneticPr fontId="2" type="noConversion"/>
  </si>
  <si>
    <t>Hong Kong</t>
    <phoneticPr fontId="2" type="noConversion"/>
  </si>
  <si>
    <t>Coils revealed to be labeled with the wording “---------, CSGT, No., Coil No., Made in Taiwan, etc.” at the exterior surface each.</t>
    <phoneticPr fontId="2" type="noConversion"/>
  </si>
  <si>
    <t>Minox Metal Private Limited, Bangalore 560002 India</t>
    <phoneticPr fontId="2" type="noConversion"/>
  </si>
  <si>
    <t>ICD Bangalore, India</t>
    <phoneticPr fontId="2" type="noConversion"/>
  </si>
  <si>
    <t>Coils revealed to be labeled with the wording “---------, Minox, Bangalore, No., Made in Taiwan, etc.” at the exterior surface each.</t>
    <phoneticPr fontId="2" type="noConversion"/>
  </si>
  <si>
    <t>Coils revealed to be labeled with the wording "---------, Bayar, Ambarli, No., Made in Taiwan, etc." on surface.</t>
    <phoneticPr fontId="2" type="noConversion"/>
  </si>
  <si>
    <t>Baltimore, United States</t>
    <phoneticPr fontId="2" type="noConversion"/>
  </si>
  <si>
    <t>Coils revealed to be labeled with the wording “------, Yieh Corp Ltd., SUU No., No., Baltimore, Made in Taiwan, No., etc.” on the exterior.</t>
    <phoneticPr fontId="2" type="noConversion"/>
  </si>
  <si>
    <t>STAINLESS STEEL COLD ROLLED SHEETS</t>
    <phoneticPr fontId="2" type="noConversion"/>
  </si>
  <si>
    <t>HOT/COLD ROLLED STAINLESS STEEL SHEET IN COIL</t>
    <phoneticPr fontId="2" type="noConversion"/>
  </si>
  <si>
    <t>UST Co., Ltd., Gyeongsangbuk-Do, Korea</t>
    <phoneticPr fontId="2" type="noConversion"/>
  </si>
  <si>
    <t>HOT ROLLED STAINLESS STEEL SHEET IN COIL NO. 1 FINISH</t>
    <phoneticPr fontId="2" type="noConversion"/>
  </si>
  <si>
    <t>Busan, Korea</t>
    <phoneticPr fontId="2" type="noConversion"/>
  </si>
  <si>
    <t>Coils revealed to be labeled with the wording “--------, UST Co., Ltd., Busan, No., Made in Taiwan, etc.” at the exterior surface each.</t>
    <phoneticPr fontId="2" type="noConversion"/>
  </si>
  <si>
    <t>Yieh United Steel Corporation</t>
    <phoneticPr fontId="2" type="noConversion"/>
  </si>
  <si>
    <t>YU</t>
    <phoneticPr fontId="2" type="noConversion"/>
  </si>
  <si>
    <t>Yieh United Steel Corporation</t>
    <phoneticPr fontId="2" type="noConversion"/>
  </si>
  <si>
    <t>Shin Yang Steel Co., Ltd., Kaohsiung City 82544</t>
    <phoneticPr fontId="2" type="noConversion"/>
  </si>
  <si>
    <t>Shin Yang Steel Co., Ltd.</t>
    <phoneticPr fontId="2" type="noConversion"/>
  </si>
  <si>
    <t>Shin</t>
    <phoneticPr fontId="2" type="noConversion"/>
  </si>
  <si>
    <t>YP</t>
    <phoneticPr fontId="2" type="noConversion"/>
  </si>
  <si>
    <t>(是)</t>
  </si>
  <si>
    <t>鋼索</t>
  </si>
  <si>
    <t>coil</t>
    <phoneticPr fontId="2" type="noConversion"/>
  </si>
  <si>
    <t>bundle</t>
    <phoneticPr fontId="2" type="noConversion"/>
  </si>
  <si>
    <t>piece</t>
    <phoneticPr fontId="2" type="noConversion"/>
  </si>
  <si>
    <t>Coils revealed to be labeled with the wording “---------, Order No., Quality:, Finish:, Size: / No.W.:/ G.W.:/Heat No.:, No., Made in Taiwan, etc.” at the exterior surface each.</t>
    <phoneticPr fontId="2" type="noConversion"/>
  </si>
  <si>
    <t>YU</t>
    <phoneticPr fontId="2" type="noConversion"/>
  </si>
  <si>
    <t>C</t>
    <phoneticPr fontId="2" type="noConversion"/>
  </si>
  <si>
    <t>C.P.C. Inox Spa</t>
  </si>
  <si>
    <t>C.p.c.</t>
    <phoneticPr fontId="2" type="noConversion"/>
  </si>
  <si>
    <t>moisture-resistance</t>
  </si>
  <si>
    <t>SGS International Services SA, Taiwan Branch</t>
    <phoneticPr fontId="2" type="noConversion"/>
  </si>
  <si>
    <r>
      <t>Loading Inspection Field Report (</t>
    </r>
    <r>
      <rPr>
        <b/>
        <u/>
        <sz val="11"/>
        <color theme="1"/>
        <rFont val="微軟正黑體"/>
        <family val="2"/>
        <charset val="136"/>
      </rPr>
      <t>裝貨報告</t>
    </r>
    <r>
      <rPr>
        <b/>
        <u/>
        <sz val="11"/>
        <color theme="1"/>
        <rFont val="Arial"/>
        <family val="2"/>
      </rPr>
      <t>)</t>
    </r>
    <phoneticPr fontId="2" type="noConversion"/>
  </si>
  <si>
    <t>現場拍攝的照片，存入共用資料夾/digital/個人資料夾/日期+船名/ （可再依客戶名分資料夾）</t>
    <phoneticPr fontId="106" type="noConversion"/>
  </si>
  <si>
    <t>4.</t>
  </si>
  <si>
    <t>在裝船作業結束後，去菲律賓的艙需在當天將現場文件填寫完成後，立即將文件繳回公司。其餘作業需在三天內繳回公司。</t>
    <phoneticPr fontId="106" type="noConversion"/>
  </si>
  <si>
    <t>3.</t>
  </si>
  <si>
    <t>裝卸記實或短卸證明等文件應由船方相關人員簽具妥當。</t>
    <phoneticPr fontId="106" type="noConversion"/>
  </si>
  <si>
    <t>2.</t>
  </si>
  <si>
    <t>注意船艙或碼頭邊是否有殘餘之貨物未裝卸乾淨。</t>
    <phoneticPr fontId="106" type="noConversion"/>
  </si>
  <si>
    <t>1.</t>
    <phoneticPr fontId="4" type="noConversion"/>
  </si>
  <si>
    <t>各種貨物類型的注意事項</t>
    <phoneticPr fontId="106" type="noConversion"/>
  </si>
  <si>
    <t>D. 作業後</t>
    <phoneticPr fontId="4" type="noConversion"/>
  </si>
  <si>
    <t>交報告的期限</t>
    <phoneticPr fontId="106" type="noConversion"/>
  </si>
  <si>
    <t>每日作業結束後，依時間、各票裝貨數量和艙別，製作日報表發送給窗口。（依需求）</t>
    <phoneticPr fontId="106" type="noConversion"/>
  </si>
  <si>
    <t>10.</t>
    <phoneticPr fontId="106" type="noConversion"/>
  </si>
  <si>
    <t>相片存檔方式討論</t>
    <phoneticPr fontId="106" type="noConversion"/>
  </si>
  <si>
    <t>船邊人員工作調整需要交接的情況，由交接者主動向被交接者連繫交接事項（進度、資料、其他應注意事項  如:未出貨的 W/NO, I/V,  未拍到的 MARK, 車上貨...等），填寫交接表說明各票進度和未記錄的照片。</t>
    <phoneticPr fontId="106" type="noConversion"/>
  </si>
  <si>
    <t>9.</t>
    <phoneticPr fontId="106" type="noConversion"/>
  </si>
  <si>
    <t>生鏽等級 數量判斷</t>
    <phoneticPr fontId="106" type="noConversion"/>
  </si>
  <si>
    <t>回報時機和機制</t>
    <phoneticPr fontId="106" type="noConversion"/>
  </si>
  <si>
    <t>若發現貨物有嚴重損壞的情形， 如:外觀變形, 包裝跑掉, 皺褶嚴重…等，務必要立即向主管或窗口反應。由客戶判斷是否要退關或重包。</t>
    <phoneticPr fontId="106" type="noConversion"/>
  </si>
  <si>
    <t>8.</t>
  </si>
  <si>
    <t>每日收工後與理貨人員核對當日各艙裝貨件數。</t>
    <phoneticPr fontId="106" type="noConversion"/>
  </si>
  <si>
    <t>7.</t>
  </si>
  <si>
    <t xml:space="preserve">船邊報告格式撰寫Mark及Packing統一以中文書寫為主，務必詳實記載內容、種類及位置。 </t>
    <phoneticPr fontId="106" type="noConversion"/>
  </si>
  <si>
    <r>
      <t>記錄貨物之包裝情形及嘜頭。（</t>
    </r>
    <r>
      <rPr>
        <sz val="10"/>
        <color rgb="FFFF0000"/>
        <rFont val="微軟正黑體"/>
        <family val="2"/>
        <charset val="136"/>
      </rPr>
      <t>參考 Packing / Mark  書寫格式）</t>
    </r>
    <phoneticPr fontId="106" type="noConversion"/>
  </si>
  <si>
    <t>6.</t>
  </si>
  <si>
    <t>記錄其他異常狀況之時間及情形。</t>
    <phoneticPr fontId="106" type="noConversion"/>
  </si>
  <si>
    <t>5.</t>
  </si>
  <si>
    <t>記錄吊桿或堆高機故障致無法裝貨之時間。</t>
    <phoneticPr fontId="106" type="noConversion"/>
  </si>
  <si>
    <t>記錄不良天氣之裝貨時間及情形。</t>
    <phoneticPr fontId="106" type="noConversion"/>
  </si>
  <si>
    <t>人孔蓋</t>
    <phoneticPr fontId="106" type="noConversion"/>
  </si>
  <si>
    <t>記錄各艙，每日開關艙及實際工作時間。</t>
    <phoneticPr fontId="106" type="noConversion"/>
  </si>
  <si>
    <t>艙蓋排氣孔能否密合</t>
    <phoneticPr fontId="106" type="noConversion"/>
  </si>
  <si>
    <t>拍攝裝貨過程  (參考拍照注意事項）</t>
    <phoneticPr fontId="106" type="noConversion"/>
  </si>
  <si>
    <t>艙蓋橡皮是否完整</t>
    <phoneticPr fontId="106" type="noConversion"/>
  </si>
  <si>
    <t>C. 作業中</t>
    <phoneticPr fontId="4" type="noConversion"/>
  </si>
  <si>
    <t>艙口圍板有無水/鏽痕</t>
    <phoneticPr fontId="106" type="noConversion"/>
  </si>
  <si>
    <t>艙蓋軌道是否變形</t>
    <phoneticPr fontId="106" type="noConversion"/>
  </si>
  <si>
    <t>拍照全船外觀，並依據需求執行貨艙檢查（視需求）。</t>
    <phoneticPr fontId="106" type="noConversion"/>
  </si>
  <si>
    <t>艙蓋能否作動</t>
    <phoneticPr fontId="106" type="noConversion"/>
  </si>
  <si>
    <t>如貨物有先進倉庫，須先行確認貨況並拍照記錄。</t>
    <phoneticPr fontId="106" type="noConversion"/>
  </si>
  <si>
    <t>與其他裝貨之相關單位事先溝通及協調，了解掌握作業順序。</t>
    <phoneticPr fontId="106" type="noConversion"/>
  </si>
  <si>
    <t>取得Packing list、Shipper Order 等相關資料，先確認貨物種類、數量、材質、尺寸等相關資訊。</t>
    <phoneticPr fontId="106" type="noConversion"/>
  </si>
  <si>
    <t>B. 作業前</t>
    <phoneticPr fontId="4" type="noConversion"/>
  </si>
  <si>
    <t>不論是新靠船，或是有工作交接的情況，都要先詳細閱讀作業文件，了解作業要求，掌握作業要求。</t>
    <phoneticPr fontId="106" type="noConversion"/>
  </si>
  <si>
    <t>A. 詳細閱讀作業文件，了解作業要求。</t>
    <phoneticPr fontId="4" type="noConversion"/>
  </si>
  <si>
    <t>船邊裝貨程序</t>
    <phoneticPr fontId="4" type="noConversion"/>
  </si>
  <si>
    <t>Uncontrolled document when Printed</t>
  </si>
  <si>
    <t xml:space="preserve">For internal use only  </t>
    <phoneticPr fontId="2" type="noConversion"/>
  </si>
  <si>
    <r>
      <rPr>
        <b/>
        <sz val="11"/>
        <color theme="1"/>
        <rFont val="細明體"/>
        <family val="2"/>
        <charset val="136"/>
      </rPr>
      <t>理貨</t>
    </r>
    <r>
      <rPr>
        <b/>
        <sz val="11"/>
        <color theme="1"/>
        <rFont val="Arial"/>
        <family val="2"/>
      </rPr>
      <t>/</t>
    </r>
    <r>
      <rPr>
        <b/>
        <sz val="11"/>
        <color theme="1"/>
        <rFont val="細明體"/>
        <family val="2"/>
        <charset val="136"/>
      </rPr>
      <t>裝卸</t>
    </r>
    <r>
      <rPr>
        <b/>
        <sz val="11"/>
        <color theme="1"/>
        <rFont val="Arial"/>
        <family val="2"/>
      </rPr>
      <t>:</t>
    </r>
    <phoneticPr fontId="2" type="noConversion"/>
  </si>
  <si>
    <r>
      <rPr>
        <b/>
        <sz val="11"/>
        <color theme="1"/>
        <rFont val="細明體"/>
        <family val="2"/>
        <charset val="136"/>
      </rPr>
      <t>地磅</t>
    </r>
    <r>
      <rPr>
        <b/>
        <sz val="11"/>
        <color theme="1"/>
        <rFont val="Arial"/>
        <family val="2"/>
      </rPr>
      <t xml:space="preserve">: </t>
    </r>
    <phoneticPr fontId="2" type="noConversion"/>
  </si>
  <si>
    <r>
      <rPr>
        <sz val="11"/>
        <color theme="1"/>
        <rFont val="細明體"/>
        <family val="2"/>
        <charset val="136"/>
      </rPr>
      <t>無</t>
    </r>
    <phoneticPr fontId="2" type="noConversion"/>
  </si>
  <si>
    <r>
      <rPr>
        <b/>
        <sz val="11"/>
        <color theme="1"/>
        <rFont val="細明體"/>
        <family val="2"/>
        <charset val="136"/>
      </rPr>
      <t>會同公證</t>
    </r>
    <r>
      <rPr>
        <b/>
        <sz val="11"/>
        <color theme="1"/>
        <rFont val="Arial"/>
        <family val="2"/>
      </rPr>
      <t>:</t>
    </r>
    <phoneticPr fontId="2" type="noConversion"/>
  </si>
  <si>
    <r>
      <rPr>
        <b/>
        <sz val="11"/>
        <color theme="1"/>
        <rFont val="新細明體"/>
        <family val="2"/>
        <charset val="136"/>
      </rPr>
      <t>工廠</t>
    </r>
    <phoneticPr fontId="2" type="noConversion"/>
  </si>
  <si>
    <t>mill</t>
    <phoneticPr fontId="2" type="noConversion"/>
  </si>
  <si>
    <t>godown</t>
  </si>
  <si>
    <r>
      <rPr>
        <b/>
        <sz val="11"/>
        <color theme="1"/>
        <rFont val="細明體"/>
        <family val="2"/>
        <charset val="136"/>
      </rPr>
      <t>出貨方式</t>
    </r>
    <phoneticPr fontId="2" type="noConversion"/>
  </si>
  <si>
    <r>
      <rPr>
        <b/>
        <sz val="11"/>
        <color theme="1"/>
        <rFont val="細明體"/>
        <family val="2"/>
        <charset val="136"/>
      </rPr>
      <t>進倉</t>
    </r>
    <r>
      <rPr>
        <b/>
        <sz val="11"/>
        <color theme="1"/>
        <rFont val="Arial"/>
        <family val="2"/>
      </rPr>
      <t>/</t>
    </r>
    <r>
      <rPr>
        <b/>
        <sz val="11"/>
        <color theme="1"/>
        <rFont val="細明體"/>
        <family val="2"/>
        <charset val="136"/>
      </rPr>
      <t>空地</t>
    </r>
    <phoneticPr fontId="2" type="noConversion"/>
  </si>
  <si>
    <t>V</t>
  </si>
  <si>
    <t>有上船打V, 沒上船 X</t>
    <phoneticPr fontId="2" type="noConversion"/>
  </si>
  <si>
    <t>平放</t>
  </si>
  <si>
    <t>Vessle arrived</t>
    <phoneticPr fontId="61" type="noConversion"/>
  </si>
  <si>
    <t>Vessel berthed</t>
    <phoneticPr fontId="61" type="noConversion"/>
  </si>
  <si>
    <t>Commencement of loading</t>
    <phoneticPr fontId="61" type="noConversion"/>
  </si>
  <si>
    <t>Completion of loading</t>
    <phoneticPr fontId="61" type="noConversion"/>
  </si>
  <si>
    <t>Finished lashing</t>
    <phoneticPr fontId="61" type="noConversion"/>
  </si>
  <si>
    <t>0100</t>
    <phoneticPr fontId="2" type="noConversion"/>
  </si>
  <si>
    <t>0200</t>
    <phoneticPr fontId="2" type="noConversion"/>
  </si>
  <si>
    <t>0300</t>
    <phoneticPr fontId="2" type="noConversion"/>
  </si>
  <si>
    <t>0400</t>
    <phoneticPr fontId="2" type="noConversion"/>
  </si>
  <si>
    <t>0500</t>
    <phoneticPr fontId="2" type="noConversion"/>
  </si>
  <si>
    <t>Clear</t>
  </si>
  <si>
    <t>Lot / Colour</t>
    <phoneticPr fontId="2" type="noConversion"/>
  </si>
  <si>
    <t>Package</t>
    <phoneticPr fontId="2" type="noConversion"/>
  </si>
  <si>
    <t>1000</t>
    <phoneticPr fontId="2" type="noConversion"/>
  </si>
  <si>
    <t>Hold No.</t>
    <phoneticPr fontId="2" type="noConversion"/>
  </si>
  <si>
    <t>"XXXXXXX" V-1234</t>
    <phoneticPr fontId="2" type="noConversion"/>
  </si>
  <si>
    <t>Blue</t>
    <phoneticPr fontId="2" type="noConversion"/>
  </si>
  <si>
    <t>一個單位：</t>
    <phoneticPr fontId="2" type="noConversion"/>
  </si>
  <si>
    <t>第二個單位：</t>
    <phoneticPr fontId="2" type="noConversion"/>
  </si>
  <si>
    <t>PPG112546</t>
    <phoneticPr fontId="2" type="noConversion"/>
  </si>
  <si>
    <t>1001</t>
    <phoneticPr fontId="2" type="noConversion"/>
  </si>
  <si>
    <t>PPG112547</t>
    <phoneticPr fontId="2" type="noConversion"/>
  </si>
  <si>
    <t>1002</t>
    <phoneticPr fontId="2" type="noConversion"/>
  </si>
  <si>
    <t>PPG112548</t>
    <phoneticPr fontId="2" type="noConversion"/>
  </si>
  <si>
    <t>1003</t>
    <phoneticPr fontId="2" type="noConversion"/>
  </si>
  <si>
    <t>PPG112549</t>
    <phoneticPr fontId="2" type="noConversion"/>
  </si>
  <si>
    <t>1004</t>
    <phoneticPr fontId="2" type="noConversion"/>
  </si>
  <si>
    <t>PPG112550</t>
    <phoneticPr fontId="2" type="noConversion"/>
  </si>
  <si>
    <t>1005</t>
    <phoneticPr fontId="2" type="noConversion"/>
  </si>
  <si>
    <t>PPG112551</t>
    <phoneticPr fontId="2" type="noConversion"/>
  </si>
  <si>
    <t>1006</t>
    <phoneticPr fontId="2" type="noConversion"/>
  </si>
  <si>
    <t>PPG112552</t>
    <phoneticPr fontId="2" type="noConversion"/>
  </si>
  <si>
    <t>1007</t>
    <phoneticPr fontId="2" type="noConversion"/>
  </si>
  <si>
    <t>PPG112553</t>
    <phoneticPr fontId="2" type="noConversion"/>
  </si>
  <si>
    <t>1008</t>
    <phoneticPr fontId="2" type="noConversion"/>
  </si>
  <si>
    <t>PPG112554</t>
    <phoneticPr fontId="2" type="noConversion"/>
  </si>
  <si>
    <t>1009</t>
    <phoneticPr fontId="2" type="noConversion"/>
  </si>
  <si>
    <t>PPG112555</t>
    <phoneticPr fontId="2" type="noConversion"/>
  </si>
  <si>
    <t>1010</t>
    <phoneticPr fontId="2" type="noConversion"/>
  </si>
  <si>
    <t>PPG112556</t>
    <phoneticPr fontId="2" type="noConversion"/>
  </si>
  <si>
    <t>1011</t>
    <phoneticPr fontId="2" type="noConversion"/>
  </si>
  <si>
    <t>PPG112557</t>
    <phoneticPr fontId="2" type="noConversion"/>
  </si>
  <si>
    <t>1012</t>
    <phoneticPr fontId="2" type="noConversion"/>
  </si>
  <si>
    <t>PPG112558</t>
    <phoneticPr fontId="2" type="noConversion"/>
  </si>
  <si>
    <t>1013</t>
    <phoneticPr fontId="2" type="noConversion"/>
  </si>
  <si>
    <t>PPG112559</t>
    <phoneticPr fontId="2" type="noConversion"/>
  </si>
  <si>
    <t>1014</t>
    <phoneticPr fontId="2" type="noConversion"/>
  </si>
  <si>
    <t>PPG112560</t>
    <phoneticPr fontId="2" type="noConversion"/>
  </si>
  <si>
    <t>1015</t>
    <phoneticPr fontId="2" type="noConversion"/>
  </si>
  <si>
    <t>SHIP’S</t>
  </si>
  <si>
    <t>IMO No. / Official No / Call Sign</t>
  </si>
  <si>
    <t xml:space="preserve">9606792 / 42609-PEXT/ 3FG09 </t>
  </si>
  <si>
    <t>PARTICULAR</t>
  </si>
  <si>
    <t>Port of Registry / Nationality / Classification</t>
  </si>
  <si>
    <t>Panama / Panama / LR</t>
  </si>
  <si>
    <r>
      <t xml:space="preserve">L.O.A. / Breadth / Depth </t>
    </r>
    <r>
      <rPr>
        <sz val="11"/>
        <rFont val="Arial"/>
        <family val="2"/>
      </rPr>
      <t>(Moulded)</t>
    </r>
  </si>
  <si>
    <t>189.99 m / 32.26 m / 18.1 m</t>
  </si>
  <si>
    <t>G.R.T. / Deadweight / Year of Built</t>
  </si>
  <si>
    <t>33,456 / 56,759.7 MT / 2012</t>
  </si>
  <si>
    <t>GENERAL</t>
    <phoneticPr fontId="2" type="noConversion"/>
  </si>
  <si>
    <t>This is a bulk carrier with the erected forecastle deck, five (5) cargo holds and five (5) hatches, while the superstructure and engine room all situated at aft. (Photo No. 1)</t>
    <phoneticPr fontId="2" type="noConversion"/>
  </si>
  <si>
    <r>
      <rPr>
        <b/>
        <sz val="11"/>
        <rFont val="Arial"/>
        <family val="2"/>
      </rPr>
      <t>HATCH</t>
    </r>
    <r>
      <rPr>
        <sz val="11"/>
        <rFont val="Arial"/>
        <family val="2"/>
      </rPr>
      <t xml:space="preserve">
</t>
    </r>
    <r>
      <rPr>
        <b/>
        <u/>
        <sz val="11"/>
        <rFont val="Arial"/>
        <family val="2"/>
      </rPr>
      <t>COVER</t>
    </r>
    <phoneticPr fontId="2" type="noConversion"/>
  </si>
  <si>
    <t>Hold</t>
    <phoneticPr fontId="2" type="noConversion"/>
  </si>
  <si>
    <t>2~5</t>
    <phoneticPr fontId="2" type="noConversion"/>
  </si>
  <si>
    <r>
      <rPr>
        <b/>
        <sz val="11"/>
        <rFont val="Arial"/>
        <family val="2"/>
      </rPr>
      <t xml:space="preserve">CARGO
</t>
    </r>
    <r>
      <rPr>
        <b/>
        <u/>
        <sz val="11"/>
        <rFont val="Arial"/>
        <family val="2"/>
      </rPr>
      <t>HOLD</t>
    </r>
    <phoneticPr fontId="2" type="noConversion"/>
  </si>
  <si>
    <t>5~9</t>
    <phoneticPr fontId="2" type="noConversion"/>
  </si>
  <si>
    <t>godown</t>
    <phoneticPr fontId="2" type="noConversion"/>
  </si>
  <si>
    <t>船邊</t>
    <phoneticPr fontId="2" type="noConversion"/>
  </si>
  <si>
    <t>The cargo in coils moved by single-boom-/fork-lifts from piles to the chassis at port godown No. 38, next trailered to alongside the vessel (horizonal coils), or to quayside, then shifted by forklifts from the chassis to line alongside the vessel (vertical coils) was loaded into the ship’s Hold No. 4 by the ship’s crane with the spreader, wire ropes, steel chains, shackles and cargo hooks connecting to special belt slings. (Photo No. 7-16)</t>
    <phoneticPr fontId="2" type="noConversion"/>
  </si>
  <si>
    <t>The cargo in coils moved by single-boom-/fork-lifts from piles to the chassis at port godown No. 122, next trailered to alongside the vessel (horizonal coils), or to Wharf No. 122, then shifted by forklifts from the chassis to line alongside the vessel (vertical coils) was loaded into the ship’s Hold No. 6 &amp; 7 by the ship’s gantries with the spreaders, wire ropes, steel chains, shackles and cargo hooks connecting to special belt slings. (Photo No. 8-36)</t>
    <phoneticPr fontId="2" type="noConversion"/>
  </si>
  <si>
    <t>The cargo in coils was shifted by forklifts from piles to the chassis in port godown No. 32, next transported by trailers to Wharf No. 39, and moved by forklifts from the chassis to line alongside the vessel, then loaded into the vessel’s Hold No. 2 by the ship’s crane with the spreader, steel chains, wire ropes, shackles and cargo hooks connecting to special belt slings. (Photo No. 4-18)</t>
    <phoneticPr fontId="2" type="noConversion"/>
  </si>
  <si>
    <t>直</t>
    <phoneticPr fontId="2" type="noConversion"/>
  </si>
  <si>
    <t>Mill + godown</t>
    <phoneticPr fontId="2" type="noConversion"/>
  </si>
  <si>
    <t>The cargo in coils either trailered from the mill to Wharf No. 36, or moved by forklifts from piles to the chassis at port godown No. 39, next trailered to quayside, was shifted by forklifts from the chassis to line alongside the vessel, and loaded into the ship’s Hold No. 2 by the ship’s crane with the spreader, wire ropes, steel chains, shackles and cargo hooks connecting to special belt slings. (Photo No. 5-32)</t>
    <phoneticPr fontId="2" type="noConversion"/>
  </si>
  <si>
    <t>橫</t>
    <phoneticPr fontId="2" type="noConversion"/>
  </si>
  <si>
    <t>The cargo in coils moved by single-boom-lifts from the pile to the chassis at port godown No. 39 was trailered to alongside the vessel and loaded into the ship’s Hold No. 3 by the ship’s crane with the spreaders, wire ropes, steel chains, shackles and cargo hooks connecting to special belt slings. (Photo No. 6-13)</t>
    <phoneticPr fontId="2" type="noConversion"/>
  </si>
  <si>
    <t>The cargo in coils trailered from the mill to Wharf No. 36 was shifted by single-boom-lifts from the chassis to line alongside the vessel, then loaded into the vessel’s Hold No. 1 by the ship’s crane with the spreader, steel chains, wire ropes, shackles and cargo hooks connecting to special belt slings. (Photo No. 1-12)</t>
    <phoneticPr fontId="2" type="noConversion"/>
  </si>
  <si>
    <t>Mill+godown</t>
    <phoneticPr fontId="2" type="noConversion"/>
  </si>
  <si>
    <t>The cargo in coils moved by single-boom-lifts from the pile to the chassis at port godown No. 39 (or from the mill) was trailered to alongside the vessel and loaded into the ship’s Hold No. 1 &amp; 5 by the ship’s cranes with the spreaders, wire ropes, steel chains, shackles and cargo hooks connecting to special belt slings. (Photo No. 3-10)</t>
    <phoneticPr fontId="2" type="noConversion"/>
  </si>
  <si>
    <t>The cargo in coils in sound packaging condition was visually inspected on the exterior where accessible alongside the vessel during the entire course of loading, and found to be appeared in general good order, except for Coil No. 07L369B00 partly wrinkled at circumferential packing steel sheet. (Photo No. 18)</t>
    <phoneticPr fontId="2" type="noConversion"/>
  </si>
  <si>
    <t>The cargo in coils in sound packaging condition was visually inspected on the exterior where accessible alongside the vessel during the entire course of loading, and found to be appeared in general good order, except for Coil No. 0BB446B00 deep traced in part at circumferential packing steel sheet. (Photo No. 10)</t>
    <phoneticPr fontId="2" type="noConversion"/>
  </si>
  <si>
    <t>The cargo in sound packing condition was duly inspected on quayside where accessible in course of loading, and found in general good appearance except for 3 coils Nos. 0CL679A00, 0CL472B00 &amp; 0CL677C00 deep-traced in part at circumferential packing steel sheet. (Photo No. 40&amp;42)</t>
    <phoneticPr fontId="2" type="noConversion"/>
  </si>
  <si>
    <t>The cargo in coils in sound packaging condition was visually inspected on the exterior where accessible alongside and on board the vessel during the entire course of loading, and found to be appeared in general good order with the below exceptions:</t>
    <phoneticPr fontId="2" type="noConversion"/>
  </si>
  <si>
    <r>
      <rPr>
        <b/>
        <sz val="11"/>
        <rFont val="Arial"/>
        <family val="2"/>
      </rPr>
      <t xml:space="preserve">QUANTITY
</t>
    </r>
    <r>
      <rPr>
        <b/>
        <u/>
        <sz val="11"/>
        <rFont val="Arial"/>
        <family val="2"/>
      </rPr>
      <t>LOADED</t>
    </r>
    <phoneticPr fontId="2" type="noConversion"/>
  </si>
  <si>
    <t>SAGA</t>
    <phoneticPr fontId="2" type="noConversion"/>
  </si>
  <si>
    <t>Wharf</t>
    <phoneticPr fontId="2" type="noConversion"/>
  </si>
  <si>
    <t>Wharf No.</t>
    <phoneticPr fontId="61" type="noConversion"/>
  </si>
  <si>
    <t xml:space="preserve">On spot check basis, wooden dunnage revealed with ISPM stamps shown “TW, KH &amp; HT” Mark on surface, indicating that it had been heat treated. </t>
    <phoneticPr fontId="2" type="noConversion"/>
  </si>
  <si>
    <t>Photos showing the cargo condition taken at time of our inspection are attached herewith for reference.
This inspection has been carried out to the best of our knowledge and ability, and our responsibility is limited to the exercise of the reasonable care. 
This report reflects our findings at time and place of outer intervention only, and does not relieve the parties from their contractual responsibilities.</t>
    <phoneticPr fontId="2" type="noConversion"/>
  </si>
  <si>
    <t>Wooden timbers were athwartshipsly placed in 3 ~ 4 single lines under each row, also about 1.5 m high against hopper plates as dunnage. Wooden wedges were chocked against the lower-tier coils so as to hinder them from moving away from the adjacent coils.</t>
    <phoneticPr fontId="2" type="noConversion"/>
  </si>
  <si>
    <t>S/O No.</t>
    <phoneticPr fontId="61" type="noConversion"/>
  </si>
  <si>
    <r>
      <t xml:space="preserve">SHIP’S
</t>
    </r>
    <r>
      <rPr>
        <b/>
        <u/>
        <sz val="11"/>
        <rFont val="Arial"/>
        <family val="2"/>
      </rPr>
      <t>PARTICULAR</t>
    </r>
    <phoneticPr fontId="2" type="noConversion"/>
  </si>
  <si>
    <t xml:space="preserve">GOODS
</t>
    <phoneticPr fontId="2" type="noConversion"/>
  </si>
  <si>
    <t>DESCRIPTION</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</si>
</sst>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1" formatCode="_-* #,##0_-;\-* #,##0_-;_-* &quot;-&quot;_-;_-@_-"/>
    <numFmt numFmtId="43" formatCode="_-* #,##0.00_-;\-* #,##0.00_-;_-* &quot;-&quot;??_-;_-@_-"/>
    <numFmt numFmtId="176" formatCode="#,##0.000_ "/>
    <numFmt numFmtId="177" formatCode="0.000"/>
    <numFmt numFmtId="178" formatCode="0000"/>
    <numFmt numFmtId="179" formatCode="#\ &quot;coils&quot;"/>
    <numFmt numFmtId="180" formatCode="mmmm\ dd\,\ yyyy"/>
    <numFmt numFmtId="181" formatCode="_-* #,##0.000_-;\-* #,##0.000_-;_-* &quot;-&quot;??_-;_-@_-"/>
    <numFmt numFmtId="182" formatCode="m&quot;月&quot;d&quot;日&quot;"/>
  </numFmts>
  <fonts count="116">
    <font>
      <sz val="12"/>
      <name val="新細明體"/>
      <family val="1"/>
      <charset val="136"/>
    </font>
    <font>
      <sz val="12"/>
      <name val="新細明體"/>
      <family val="1"/>
      <charset val="136"/>
    </font>
    <font>
      <sz val="9"/>
      <name val="新細明體"/>
      <family val="1"/>
      <charset val="136"/>
    </font>
    <font>
      <sz val="12"/>
      <name val="Times New Roman"/>
      <family val="1"/>
    </font>
    <font>
      <sz val="9"/>
      <name val="細明體"/>
      <family val="3"/>
      <charset val="136"/>
    </font>
    <font>
      <u/>
      <sz val="12"/>
      <color indexed="12"/>
      <name val="新細明體"/>
      <family val="1"/>
      <charset val="136"/>
    </font>
    <font>
      <u/>
      <sz val="12"/>
      <color indexed="36"/>
      <name val="新細明體"/>
      <family val="1"/>
      <charset val="136"/>
    </font>
    <font>
      <sz val="12"/>
      <name val="Arial"/>
      <family val="2"/>
    </font>
    <font>
      <b/>
      <sz val="10"/>
      <name val="Arial"/>
      <family val="2"/>
    </font>
    <font>
      <b/>
      <sz val="13"/>
      <name val="Arial"/>
      <family val="2"/>
    </font>
    <font>
      <sz val="8"/>
      <name val="Arial"/>
      <family val="2"/>
    </font>
    <font>
      <sz val="10"/>
      <name val="Arial"/>
      <family val="2"/>
    </font>
    <font>
      <i/>
      <sz val="10"/>
      <name val="Arial"/>
      <family val="2"/>
    </font>
    <font>
      <b/>
      <i/>
      <sz val="10"/>
      <name val="Arial"/>
      <family val="2"/>
    </font>
    <font>
      <u/>
      <sz val="10"/>
      <name val="Arial"/>
      <family val="2"/>
    </font>
    <font>
      <sz val="14"/>
      <name val="Arial"/>
      <family val="2"/>
    </font>
    <font>
      <sz val="10"/>
      <color indexed="12"/>
      <name val="Arial"/>
      <family val="2"/>
    </font>
    <font>
      <sz val="11"/>
      <name val="明朝"/>
      <family val="1"/>
      <charset val="136"/>
    </font>
    <font>
      <sz val="10"/>
      <color indexed="8"/>
      <name val="Arial"/>
      <family val="2"/>
    </font>
    <font>
      <sz val="12"/>
      <name val="新細明體"/>
      <family val="1"/>
      <charset val="136"/>
    </font>
    <font>
      <b/>
      <sz val="10"/>
      <color indexed="10"/>
      <name val="Arial"/>
      <family val="2"/>
    </font>
    <font>
      <sz val="12"/>
      <color indexed="17"/>
      <name val="新細明體"/>
      <family val="1"/>
      <charset val="136"/>
    </font>
    <font>
      <sz val="12"/>
      <color indexed="20"/>
      <name val="新細明體"/>
      <family val="1"/>
      <charset val="136"/>
    </font>
    <font>
      <sz val="11"/>
      <color indexed="39"/>
      <name val="Times New Roman"/>
      <family val="1"/>
    </font>
    <font>
      <b/>
      <sz val="10"/>
      <color rgb="FFFF0000"/>
      <name val="Arial"/>
      <family val="2"/>
    </font>
    <font>
      <b/>
      <sz val="10"/>
      <color rgb="FFFF0000"/>
      <name val="新細明體"/>
      <family val="1"/>
      <charset val="136"/>
    </font>
    <font>
      <b/>
      <sz val="10"/>
      <color rgb="FF0000CC"/>
      <name val="Arial"/>
      <family val="2"/>
    </font>
    <font>
      <b/>
      <sz val="10"/>
      <color rgb="FFFF6600"/>
      <name val="Arial"/>
      <family val="2"/>
    </font>
    <font>
      <b/>
      <sz val="10"/>
      <color rgb="FFFF6600"/>
      <name val="新細明體"/>
      <family val="1"/>
      <charset val="136"/>
    </font>
    <font>
      <sz val="10"/>
      <color rgb="FF0000CC"/>
      <name val="Arial"/>
      <family val="2"/>
    </font>
    <font>
      <sz val="11"/>
      <color indexed="8"/>
      <name val="新細明體"/>
      <family val="1"/>
      <charset val="136"/>
    </font>
    <font>
      <sz val="12"/>
      <color indexed="8"/>
      <name val="新細明體"/>
      <family val="1"/>
      <charset val="136"/>
    </font>
    <font>
      <sz val="11"/>
      <color indexed="9"/>
      <name val="新細明體"/>
      <family val="1"/>
      <charset val="136"/>
    </font>
    <font>
      <sz val="12"/>
      <color indexed="9"/>
      <name val="新細明體"/>
      <family val="1"/>
      <charset val="136"/>
    </font>
    <font>
      <sz val="11"/>
      <color indexed="20"/>
      <name val="新細明體"/>
      <family val="1"/>
      <charset val="136"/>
    </font>
    <font>
      <b/>
      <sz val="11"/>
      <color indexed="52"/>
      <name val="新細明體"/>
      <family val="1"/>
      <charset val="136"/>
    </font>
    <font>
      <b/>
      <sz val="11"/>
      <color indexed="9"/>
      <name val="新細明體"/>
      <family val="1"/>
      <charset val="136"/>
    </font>
    <font>
      <i/>
      <sz val="11"/>
      <color indexed="23"/>
      <name val="新細明體"/>
      <family val="1"/>
      <charset val="136"/>
    </font>
    <font>
      <sz val="11"/>
      <color indexed="17"/>
      <name val="新細明體"/>
      <family val="1"/>
      <charset val="136"/>
    </font>
    <font>
      <b/>
      <sz val="15"/>
      <color indexed="56"/>
      <name val="新細明體"/>
      <family val="1"/>
      <charset val="136"/>
    </font>
    <font>
      <b/>
      <sz val="13"/>
      <color indexed="56"/>
      <name val="新細明體"/>
      <family val="1"/>
      <charset val="136"/>
    </font>
    <font>
      <b/>
      <sz val="11"/>
      <color indexed="56"/>
      <name val="新細明體"/>
      <family val="1"/>
      <charset val="136"/>
    </font>
    <font>
      <sz val="11"/>
      <color indexed="62"/>
      <name val="新細明體"/>
      <family val="1"/>
      <charset val="136"/>
    </font>
    <font>
      <sz val="11"/>
      <color indexed="52"/>
      <name val="新細明體"/>
      <family val="1"/>
      <charset val="136"/>
    </font>
    <font>
      <sz val="11"/>
      <color indexed="60"/>
      <name val="新細明體"/>
      <family val="1"/>
      <charset val="136"/>
    </font>
    <font>
      <b/>
      <sz val="11"/>
      <color indexed="63"/>
      <name val="新細明體"/>
      <family val="1"/>
      <charset val="136"/>
    </font>
    <font>
      <b/>
      <sz val="18"/>
      <color indexed="56"/>
      <name val="新細明體"/>
      <family val="1"/>
      <charset val="136"/>
    </font>
    <font>
      <b/>
      <sz val="11"/>
      <color indexed="8"/>
      <name val="新細明體"/>
      <family val="1"/>
      <charset val="136"/>
    </font>
    <font>
      <sz val="11"/>
      <color indexed="10"/>
      <name val="新細明體"/>
      <family val="1"/>
      <charset val="136"/>
    </font>
    <font>
      <b/>
      <sz val="12"/>
      <color indexed="8"/>
      <name val="新細明體"/>
      <family val="1"/>
      <charset val="136"/>
    </font>
    <font>
      <sz val="12"/>
      <color indexed="60"/>
      <name val="新細明體"/>
      <family val="1"/>
      <charset val="136"/>
    </font>
    <font>
      <i/>
      <sz val="12"/>
      <color indexed="23"/>
      <name val="新細明體"/>
      <family val="1"/>
      <charset val="136"/>
    </font>
    <font>
      <sz val="12"/>
      <color indexed="62"/>
      <name val="新細明體"/>
      <family val="1"/>
      <charset val="136"/>
    </font>
    <font>
      <b/>
      <sz val="12"/>
      <color indexed="63"/>
      <name val="新細明體"/>
      <family val="1"/>
      <charset val="136"/>
    </font>
    <font>
      <b/>
      <sz val="12"/>
      <color indexed="9"/>
      <name val="新細明體"/>
      <family val="1"/>
      <charset val="136"/>
    </font>
    <font>
      <sz val="12"/>
      <color indexed="10"/>
      <name val="新細明體"/>
      <family val="1"/>
      <charset val="136"/>
    </font>
    <font>
      <b/>
      <sz val="12"/>
      <color indexed="52"/>
      <name val="新細明體"/>
      <family val="1"/>
      <charset val="136"/>
    </font>
    <font>
      <sz val="12"/>
      <color indexed="52"/>
      <name val="新細明體"/>
      <family val="1"/>
      <charset val="136"/>
    </font>
    <font>
      <sz val="11"/>
      <color theme="1"/>
      <name val="新細明體"/>
      <family val="2"/>
      <scheme val="minor"/>
    </font>
    <font>
      <sz val="12"/>
      <color indexed="19"/>
      <name val="新細明體"/>
      <family val="1"/>
      <charset val="136"/>
    </font>
    <font>
      <u/>
      <sz val="10.8"/>
      <color indexed="12"/>
      <name val="新細明體"/>
      <family val="1"/>
      <charset val="136"/>
    </font>
    <font>
      <sz val="9"/>
      <name val="新細明體"/>
      <family val="3"/>
      <charset val="136"/>
      <scheme val="minor"/>
    </font>
    <font>
      <sz val="11"/>
      <color theme="1"/>
      <name val="Arial"/>
      <family val="2"/>
    </font>
    <font>
      <u/>
      <sz val="11"/>
      <color theme="1"/>
      <name val="Arial"/>
      <family val="2"/>
    </font>
    <font>
      <sz val="11"/>
      <color theme="1"/>
      <name val="新細明體"/>
      <family val="2"/>
      <charset val="136"/>
    </font>
    <font>
      <sz val="11"/>
      <color theme="1"/>
      <name val="細明體"/>
      <family val="2"/>
      <charset val="136"/>
    </font>
    <font>
      <u/>
      <sz val="11"/>
      <color theme="1"/>
      <name val="細明體"/>
      <family val="2"/>
      <charset val="136"/>
    </font>
    <font>
      <u/>
      <sz val="11"/>
      <color theme="1"/>
      <name val="Arial"/>
      <family val="1"/>
      <charset val="136"/>
    </font>
    <font>
      <u/>
      <sz val="11"/>
      <color theme="1"/>
      <name val="細明體"/>
      <family val="1"/>
      <charset val="136"/>
    </font>
    <font>
      <u/>
      <sz val="11"/>
      <color theme="1"/>
      <name val="Arial"/>
      <family val="3"/>
      <charset val="136"/>
    </font>
    <font>
      <sz val="11"/>
      <name val="Arial"/>
      <family val="2"/>
    </font>
    <font>
      <b/>
      <u/>
      <sz val="11"/>
      <color theme="1"/>
      <name val="Arial"/>
      <family val="2"/>
    </font>
    <font>
      <b/>
      <sz val="11"/>
      <name val="Arial"/>
      <family val="2"/>
    </font>
    <font>
      <b/>
      <u/>
      <sz val="11"/>
      <name val="Arial"/>
      <family val="2"/>
    </font>
    <font>
      <sz val="11"/>
      <color rgb="FF000000"/>
      <name val="Arial"/>
      <family val="2"/>
    </font>
    <font>
      <b/>
      <sz val="11"/>
      <color theme="1"/>
      <name val="Arial"/>
      <family val="2"/>
    </font>
    <font>
      <b/>
      <sz val="11"/>
      <color theme="1"/>
      <name val="細明體"/>
      <family val="2"/>
      <charset val="136"/>
    </font>
    <font>
      <sz val="11"/>
      <name val="新細明體"/>
      <family val="1"/>
      <charset val="136"/>
    </font>
    <font>
      <sz val="11"/>
      <name val="新細明體"/>
      <family val="2"/>
      <charset val="136"/>
    </font>
    <font>
      <sz val="11"/>
      <name val="細明體"/>
      <family val="2"/>
      <charset val="136"/>
    </font>
    <font>
      <b/>
      <u/>
      <sz val="12"/>
      <name val="Arial"/>
      <family val="2"/>
    </font>
    <font>
      <b/>
      <u/>
      <sz val="11"/>
      <color theme="1"/>
      <name val="微軟正黑體"/>
      <family val="2"/>
      <charset val="136"/>
    </font>
    <font>
      <sz val="11"/>
      <color theme="1"/>
      <name val="Arial"/>
      <family val="2"/>
      <charset val="136"/>
    </font>
    <font>
      <sz val="11"/>
      <color rgb="FFFF0000"/>
      <name val="Arial"/>
      <family val="2"/>
    </font>
    <font>
      <sz val="14"/>
      <color rgb="FFFF0000"/>
      <name val="Calibri"/>
      <family val="2"/>
    </font>
    <font>
      <u/>
      <sz val="11"/>
      <color theme="1"/>
      <name val="微軟正黑體"/>
      <family val="2"/>
      <charset val="136"/>
    </font>
    <font>
      <u/>
      <sz val="11"/>
      <color theme="1"/>
      <name val="新細明體"/>
      <family val="2"/>
      <charset val="136"/>
    </font>
    <font>
      <sz val="24"/>
      <color rgb="FF000000"/>
      <name val="新細明體"/>
      <family val="1"/>
      <charset val="136"/>
    </font>
    <font>
      <sz val="11"/>
      <color rgb="FF000000"/>
      <name val="新細明體"/>
      <family val="1"/>
      <charset val="136"/>
    </font>
    <font>
      <u/>
      <sz val="11"/>
      <name val="Arial"/>
      <family val="2"/>
    </font>
    <font>
      <sz val="11"/>
      <name val="Arial"/>
      <family val="2"/>
      <charset val="136"/>
    </font>
    <font>
      <u/>
      <sz val="11"/>
      <name val="Arial"/>
      <family val="1"/>
      <charset val="136"/>
    </font>
    <font>
      <u/>
      <sz val="11"/>
      <name val="Arial"/>
      <family val="3"/>
      <charset val="136"/>
    </font>
    <font>
      <u/>
      <sz val="11"/>
      <name val="細明體"/>
      <family val="2"/>
      <charset val="136"/>
    </font>
    <font>
      <u/>
      <sz val="11"/>
      <name val="細明體"/>
      <family val="1"/>
      <charset val="136"/>
    </font>
    <font>
      <sz val="11"/>
      <color theme="1"/>
      <name val="新細明體"/>
      <family val="1"/>
      <charset val="136"/>
    </font>
    <font>
      <sz val="9"/>
      <name val="新細明體"/>
      <family val="2"/>
      <charset val="136"/>
      <scheme val="minor"/>
    </font>
    <font>
      <sz val="10"/>
      <color theme="1"/>
      <name val="Arial"/>
      <family val="2"/>
    </font>
    <font>
      <sz val="6"/>
      <color theme="1"/>
      <name val="Arial"/>
      <family val="2"/>
    </font>
    <font>
      <sz val="10"/>
      <color theme="1"/>
      <name val="細明體"/>
      <family val="2"/>
      <charset val="136"/>
    </font>
    <font>
      <sz val="10"/>
      <color theme="1"/>
      <name val="細明體"/>
      <family val="3"/>
      <charset val="136"/>
    </font>
    <font>
      <b/>
      <u/>
      <sz val="11"/>
      <color theme="1"/>
      <name val="新細明體"/>
      <family val="2"/>
      <charset val="136"/>
    </font>
    <font>
      <b/>
      <u/>
      <sz val="14"/>
      <name val="Arial"/>
      <family val="2"/>
    </font>
    <font>
      <sz val="7"/>
      <name val="Arial"/>
      <family val="2"/>
    </font>
    <font>
      <sz val="11"/>
      <color rgb="FFFFFF00"/>
      <name val="Arial"/>
      <family val="2"/>
    </font>
    <font>
      <sz val="10"/>
      <name val="微軟正黑體"/>
      <family val="2"/>
      <charset val="136"/>
    </font>
    <font>
      <sz val="10"/>
      <name val="Times New Roman"/>
      <family val="1"/>
    </font>
    <font>
      <sz val="10"/>
      <color rgb="FFFF0000"/>
      <name val="微軟正黑體"/>
      <family val="2"/>
      <charset val="136"/>
    </font>
    <font>
      <b/>
      <u/>
      <sz val="10"/>
      <color rgb="FFFF0000"/>
      <name val="微軟正黑體"/>
      <family val="2"/>
      <charset val="136"/>
    </font>
    <font>
      <sz val="10"/>
      <color rgb="FF000000"/>
      <name val="微軟正黑體"/>
      <family val="2"/>
      <charset val="136"/>
    </font>
    <font>
      <sz val="10"/>
      <color indexed="12"/>
      <name val="微軟正黑體"/>
      <family val="2"/>
      <charset val="136"/>
    </font>
    <font>
      <b/>
      <u/>
      <sz val="13"/>
      <name val="微軟正黑體"/>
      <family val="2"/>
      <charset val="136"/>
    </font>
    <font>
      <sz val="10"/>
      <color indexed="8"/>
      <name val="微軟正黑體"/>
      <family val="2"/>
      <charset val="136"/>
    </font>
    <font>
      <b/>
      <sz val="11"/>
      <color theme="1"/>
      <name val="新細明體"/>
      <family val="2"/>
      <charset val="136"/>
    </font>
    <font>
      <b/>
      <sz val="11"/>
      <color theme="1"/>
      <name val="細明體"/>
      <family val="3"/>
      <charset val="136"/>
    </font>
    <font>
      <sz val="11"/>
      <color rgb="FFFF0000"/>
      <name val="細明體"/>
      <family val="2"/>
      <charset val="136"/>
    </font>
  </fonts>
  <fills count="27">
    <fill>
      <patternFill patternType="none"/>
    </fill>
    <fill>
      <patternFill patternType="gray125"/>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9"/>
        <bgColor indexed="64"/>
      </patternFill>
    </fill>
    <fill>
      <patternFill patternType="solid">
        <fgColor theme="0"/>
        <bgColor indexed="64"/>
      </patternFill>
    </fill>
    <fill>
      <patternFill patternType="solid">
        <fgColor indexed="31"/>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rgb="FFFFFF00"/>
        <bgColor indexed="64"/>
      </patternFill>
    </fill>
  </fills>
  <borders count="66">
    <border>
      <left/>
      <right/>
      <top/>
      <bottom/>
      <diagonal/>
    </border>
    <border>
      <left/>
      <right/>
      <top/>
      <bottom style="thin">
        <color indexed="64"/>
      </bottom>
      <diagonal/>
    </border>
    <border>
      <left/>
      <right/>
      <top style="hair">
        <color indexed="64"/>
      </top>
      <bottom/>
      <diagonal/>
    </border>
    <border>
      <left/>
      <right style="hair">
        <color indexed="64"/>
      </right>
      <top style="hair">
        <color indexed="64"/>
      </top>
      <bottom/>
      <diagonal/>
    </border>
    <border>
      <left style="hair">
        <color indexed="64"/>
      </left>
      <right/>
      <top style="hair">
        <color indexed="64"/>
      </top>
      <bottom/>
      <diagonal/>
    </border>
    <border>
      <left/>
      <right/>
      <top style="hair">
        <color indexed="64"/>
      </top>
      <bottom style="hair">
        <color indexed="64"/>
      </bottom>
      <diagonal/>
    </border>
    <border>
      <left/>
      <right style="hair">
        <color indexed="64"/>
      </right>
      <top/>
      <bottom style="hair">
        <color indexed="64"/>
      </bottom>
      <diagonal/>
    </border>
    <border>
      <left/>
      <right/>
      <top/>
      <bottom style="hair">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hair">
        <color indexed="64"/>
      </left>
      <right/>
      <top/>
      <bottom style="hair">
        <color indexed="64"/>
      </bottom>
      <diagonal/>
    </border>
    <border>
      <left style="hair">
        <color indexed="64"/>
      </left>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top style="double">
        <color indexed="64"/>
      </top>
      <bottom/>
      <diagonal/>
    </border>
    <border>
      <left/>
      <right style="double">
        <color indexed="64"/>
      </right>
      <top/>
      <bottom style="hair">
        <color indexed="64"/>
      </bottom>
      <diagonal/>
    </border>
    <border>
      <left/>
      <right style="hair">
        <color indexed="64"/>
      </right>
      <top style="double">
        <color indexed="64"/>
      </top>
      <bottom/>
      <diagonal/>
    </border>
    <border>
      <left style="double">
        <color indexed="64"/>
      </left>
      <right/>
      <top style="hair">
        <color indexed="64"/>
      </top>
      <bottom/>
      <diagonal/>
    </border>
    <border>
      <left style="double">
        <color indexed="64"/>
      </left>
      <right/>
      <top style="hair">
        <color indexed="64"/>
      </top>
      <bottom style="hair">
        <color indexed="64"/>
      </bottom>
      <diagonal/>
    </border>
    <border>
      <left/>
      <right style="double">
        <color indexed="64"/>
      </right>
      <top style="hair">
        <color indexed="64"/>
      </top>
      <bottom style="hair">
        <color indexed="64"/>
      </bottom>
      <diagonal/>
    </border>
    <border>
      <left style="hair">
        <color indexed="64"/>
      </left>
      <right/>
      <top style="hair">
        <color indexed="64"/>
      </top>
      <bottom style="double">
        <color indexed="64"/>
      </bottom>
      <diagonal/>
    </border>
    <border>
      <left/>
      <right/>
      <top style="hair">
        <color indexed="64"/>
      </top>
      <bottom style="double">
        <color indexed="64"/>
      </bottom>
      <diagonal/>
    </border>
    <border>
      <left/>
      <right style="double">
        <color indexed="64"/>
      </right>
      <top style="hair">
        <color indexed="64"/>
      </top>
      <bottom style="double">
        <color indexed="64"/>
      </bottom>
      <diagonal/>
    </border>
    <border>
      <left/>
      <right style="hair">
        <color indexed="64"/>
      </right>
      <top style="hair">
        <color indexed="64"/>
      </top>
      <bottom style="double">
        <color indexed="64"/>
      </bottom>
      <diagonal/>
    </border>
    <border>
      <left style="double">
        <color indexed="64"/>
      </left>
      <right/>
      <top style="hair">
        <color indexed="64"/>
      </top>
      <bottom style="double">
        <color indexed="64"/>
      </bottom>
      <diagonal/>
    </border>
    <border>
      <left/>
      <right style="double">
        <color indexed="64"/>
      </right>
      <top style="hair">
        <color indexed="64"/>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indexed="64"/>
      </top>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diagonal/>
    </border>
    <border>
      <left style="thin">
        <color auto="1"/>
      </left>
      <right/>
      <top style="thin">
        <color auto="1"/>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right style="thin">
        <color indexed="64"/>
      </right>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top/>
      <bottom/>
      <diagonal/>
    </border>
    <border>
      <left/>
      <right style="thin">
        <color auto="1"/>
      </right>
      <top style="thin">
        <color auto="1"/>
      </top>
      <bottom/>
      <diagonal/>
    </border>
  </borders>
  <cellStyleXfs count="319">
    <xf numFmtId="0" fontId="0" fillId="0" borderId="0"/>
    <xf numFmtId="0" fontId="11" fillId="0" borderId="0"/>
    <xf numFmtId="0" fontId="1" fillId="0" borderId="0"/>
    <xf numFmtId="0" fontId="1" fillId="0" borderId="0"/>
    <xf numFmtId="0" fontId="19" fillId="0" borderId="0"/>
    <xf numFmtId="0" fontId="1" fillId="0" borderId="0"/>
    <xf numFmtId="0" fontId="3" fillId="0" borderId="0"/>
    <xf numFmtId="43" fontId="1" fillId="0" borderId="0" applyFont="0" applyFill="0" applyBorder="0" applyAlignment="0" applyProtection="0"/>
    <xf numFmtId="41" fontId="1" fillId="0" borderId="0" applyFont="0" applyFill="0" applyBorder="0" applyAlignment="0" applyProtection="0"/>
    <xf numFmtId="0" fontId="3" fillId="0" borderId="0" applyFont="0" applyFill="0" applyBorder="0" applyAlignment="0" applyProtection="0"/>
    <xf numFmtId="0" fontId="21" fillId="5" borderId="0" applyNumberFormat="0" applyBorder="0" applyAlignment="0" applyProtection="0">
      <alignment vertical="center"/>
    </xf>
    <xf numFmtId="0" fontId="21" fillId="3" borderId="0" applyNumberFormat="0" applyBorder="0" applyAlignment="0" applyProtection="0">
      <alignment vertical="center"/>
    </xf>
    <xf numFmtId="0" fontId="21" fillId="5" borderId="0" applyNumberFormat="0" applyBorder="0" applyAlignment="0" applyProtection="0">
      <alignment vertical="center"/>
    </xf>
    <xf numFmtId="9" fontId="1" fillId="0" borderId="0" applyFont="0" applyFill="0" applyBorder="0" applyAlignment="0" applyProtection="0"/>
    <xf numFmtId="0" fontId="3" fillId="0" borderId="0" applyFont="0" applyFill="0" applyBorder="0" applyAlignment="0" applyProtection="0"/>
    <xf numFmtId="0" fontId="3" fillId="0" borderId="0" applyFont="0" applyFill="0" applyBorder="0" applyProtection="0"/>
    <xf numFmtId="0" fontId="3" fillId="0" borderId="0" applyFont="0" applyFill="0" applyBorder="0" applyAlignment="0" applyProtection="0"/>
    <xf numFmtId="0" fontId="3" fillId="0" borderId="0" applyFont="0" applyFill="0" applyBorder="0" applyAlignment="0" applyProtection="0"/>
    <xf numFmtId="0" fontId="17" fillId="0" borderId="0"/>
    <xf numFmtId="0" fontId="22" fillId="4" borderId="0" applyNumberFormat="0" applyBorder="0" applyAlignment="0" applyProtection="0">
      <alignment vertical="center"/>
    </xf>
    <xf numFmtId="0" fontId="22" fillId="2" borderId="0" applyNumberFormat="0" applyBorder="0" applyAlignment="0" applyProtection="0">
      <alignment vertical="center"/>
    </xf>
    <xf numFmtId="0" fontId="22" fillId="4" borderId="0" applyNumberFormat="0" applyBorder="0" applyAlignment="0" applyProtection="0">
      <alignment vertical="center"/>
    </xf>
    <xf numFmtId="0" fontId="30" fillId="8" borderId="0" applyNumberFormat="0" applyBorder="0" applyAlignment="0" applyProtection="0">
      <alignment vertical="center"/>
    </xf>
    <xf numFmtId="0" fontId="30" fillId="2" borderId="0" applyNumberFormat="0" applyBorder="0" applyAlignment="0" applyProtection="0">
      <alignment vertical="center"/>
    </xf>
    <xf numFmtId="0" fontId="30" fillId="3" borderId="0" applyNumberFormat="0" applyBorder="0" applyAlignment="0" applyProtection="0">
      <alignment vertical="center"/>
    </xf>
    <xf numFmtId="0" fontId="30" fillId="4" borderId="0" applyNumberFormat="0" applyBorder="0" applyAlignment="0" applyProtection="0">
      <alignment vertical="center"/>
    </xf>
    <xf numFmtId="0" fontId="30" fillId="5" borderId="0" applyNumberFormat="0" applyBorder="0" applyAlignment="0" applyProtection="0">
      <alignment vertical="center"/>
    </xf>
    <xf numFmtId="0" fontId="30" fillId="9" borderId="0" applyNumberFormat="0" applyBorder="0" applyAlignment="0" applyProtection="0">
      <alignment vertical="center"/>
    </xf>
    <xf numFmtId="0" fontId="31" fillId="8" borderId="0" applyNumberFormat="0" applyBorder="0" applyAlignment="0" applyProtection="0">
      <alignment vertical="center"/>
    </xf>
    <xf numFmtId="0" fontId="31" fillId="2" borderId="0" applyNumberFormat="0" applyBorder="0" applyAlignment="0" applyProtection="0">
      <alignment vertical="center"/>
    </xf>
    <xf numFmtId="0" fontId="31" fillId="3" borderId="0" applyNumberFormat="0" applyBorder="0" applyAlignment="0" applyProtection="0">
      <alignment vertical="center"/>
    </xf>
    <xf numFmtId="0" fontId="31" fillId="4" borderId="0" applyNumberFormat="0" applyBorder="0" applyAlignment="0" applyProtection="0">
      <alignment vertical="center"/>
    </xf>
    <xf numFmtId="0" fontId="31" fillId="5" borderId="0" applyNumberFormat="0" applyBorder="0" applyAlignment="0" applyProtection="0">
      <alignment vertical="center"/>
    </xf>
    <xf numFmtId="0" fontId="31" fillId="9" borderId="0" applyNumberFormat="0" applyBorder="0" applyAlignment="0" applyProtection="0">
      <alignment vertical="center"/>
    </xf>
    <xf numFmtId="0" fontId="30" fillId="10" borderId="0" applyNumberFormat="0" applyBorder="0" applyAlignment="0" applyProtection="0">
      <alignment vertical="center"/>
    </xf>
    <xf numFmtId="0" fontId="30" fillId="11" borderId="0" applyNumberFormat="0" applyBorder="0" applyAlignment="0" applyProtection="0">
      <alignment vertical="center"/>
    </xf>
    <xf numFmtId="0" fontId="30" fillId="12" borderId="0" applyNumberFormat="0" applyBorder="0" applyAlignment="0" applyProtection="0">
      <alignment vertical="center"/>
    </xf>
    <xf numFmtId="0" fontId="30" fillId="4" borderId="0" applyNumberFormat="0" applyBorder="0" applyAlignment="0" applyProtection="0">
      <alignment vertical="center"/>
    </xf>
    <xf numFmtId="0" fontId="30" fillId="10" borderId="0" applyNumberFormat="0" applyBorder="0" applyAlignment="0" applyProtection="0">
      <alignment vertical="center"/>
    </xf>
    <xf numFmtId="0" fontId="30" fillId="13" borderId="0" applyNumberFormat="0" applyBorder="0" applyAlignment="0" applyProtection="0">
      <alignment vertical="center"/>
    </xf>
    <xf numFmtId="0" fontId="31" fillId="10" borderId="0" applyNumberFormat="0" applyBorder="0" applyAlignment="0" applyProtection="0">
      <alignment vertical="center"/>
    </xf>
    <xf numFmtId="0" fontId="31" fillId="11" borderId="0" applyNumberFormat="0" applyBorder="0" applyAlignment="0" applyProtection="0">
      <alignment vertical="center"/>
    </xf>
    <xf numFmtId="0" fontId="31" fillId="12" borderId="0" applyNumberFormat="0" applyBorder="0" applyAlignment="0" applyProtection="0">
      <alignment vertical="center"/>
    </xf>
    <xf numFmtId="0" fontId="31" fillId="4" borderId="0" applyNumberFormat="0" applyBorder="0" applyAlignment="0" applyProtection="0">
      <alignment vertical="center"/>
    </xf>
    <xf numFmtId="0" fontId="31" fillId="10" borderId="0" applyNumberFormat="0" applyBorder="0" applyAlignment="0" applyProtection="0">
      <alignment vertical="center"/>
    </xf>
    <xf numFmtId="0" fontId="31" fillId="13" borderId="0" applyNumberFormat="0" applyBorder="0" applyAlignment="0" applyProtection="0">
      <alignment vertical="center"/>
    </xf>
    <xf numFmtId="0" fontId="32" fillId="14" borderId="0" applyNumberFormat="0" applyBorder="0" applyAlignment="0" applyProtection="0">
      <alignment vertical="center"/>
    </xf>
    <xf numFmtId="0" fontId="32" fillId="11" borderId="0" applyNumberFormat="0" applyBorder="0" applyAlignment="0" applyProtection="0">
      <alignment vertical="center"/>
    </xf>
    <xf numFmtId="0" fontId="32" fillId="12" borderId="0" applyNumberFormat="0" applyBorder="0" applyAlignment="0" applyProtection="0">
      <alignment vertical="center"/>
    </xf>
    <xf numFmtId="0" fontId="32" fillId="15" borderId="0" applyNumberFormat="0" applyBorder="0" applyAlignment="0" applyProtection="0">
      <alignment vertical="center"/>
    </xf>
    <xf numFmtId="0" fontId="32" fillId="16" borderId="0" applyNumberFormat="0" applyBorder="0" applyAlignment="0" applyProtection="0">
      <alignment vertical="center"/>
    </xf>
    <xf numFmtId="0" fontId="32" fillId="17" borderId="0" applyNumberFormat="0" applyBorder="0" applyAlignment="0" applyProtection="0">
      <alignment vertical="center"/>
    </xf>
    <xf numFmtId="0" fontId="33" fillId="14" borderId="0" applyNumberFormat="0" applyBorder="0" applyAlignment="0" applyProtection="0">
      <alignment vertical="center"/>
    </xf>
    <xf numFmtId="0" fontId="33" fillId="11" borderId="0" applyNumberFormat="0" applyBorder="0" applyAlignment="0" applyProtection="0">
      <alignment vertical="center"/>
    </xf>
    <xf numFmtId="0" fontId="33" fillId="12" borderId="0" applyNumberFormat="0" applyBorder="0" applyAlignment="0" applyProtection="0">
      <alignment vertical="center"/>
    </xf>
    <xf numFmtId="0" fontId="33" fillId="15" borderId="0" applyNumberFormat="0" applyBorder="0" applyAlignment="0" applyProtection="0">
      <alignment vertical="center"/>
    </xf>
    <xf numFmtId="0" fontId="33" fillId="16" borderId="0" applyNumberFormat="0" applyBorder="0" applyAlignment="0" applyProtection="0">
      <alignment vertical="center"/>
    </xf>
    <xf numFmtId="0" fontId="33" fillId="17" borderId="0" applyNumberFormat="0" applyBorder="0" applyAlignment="0" applyProtection="0">
      <alignment vertical="center"/>
    </xf>
    <xf numFmtId="0" fontId="32" fillId="18" borderId="0" applyNumberFormat="0" applyBorder="0" applyAlignment="0" applyProtection="0">
      <alignment vertical="center"/>
    </xf>
    <xf numFmtId="0" fontId="32" fillId="19" borderId="0" applyNumberFormat="0" applyBorder="0" applyAlignment="0" applyProtection="0">
      <alignment vertical="center"/>
    </xf>
    <xf numFmtId="0" fontId="32" fillId="20" borderId="0" applyNumberFormat="0" applyBorder="0" applyAlignment="0" applyProtection="0">
      <alignment vertical="center"/>
    </xf>
    <xf numFmtId="0" fontId="32" fillId="15" borderId="0" applyNumberFormat="0" applyBorder="0" applyAlignment="0" applyProtection="0">
      <alignment vertical="center"/>
    </xf>
    <xf numFmtId="0" fontId="32" fillId="16" borderId="0" applyNumberFormat="0" applyBorder="0" applyAlignment="0" applyProtection="0">
      <alignment vertical="center"/>
    </xf>
    <xf numFmtId="0" fontId="32" fillId="21" borderId="0" applyNumberFormat="0" applyBorder="0" applyAlignment="0" applyProtection="0">
      <alignment vertical="center"/>
    </xf>
    <xf numFmtId="0" fontId="34" fillId="2" borderId="0" applyNumberFormat="0" applyBorder="0" applyAlignment="0" applyProtection="0">
      <alignment vertical="center"/>
    </xf>
    <xf numFmtId="0" fontId="35" fillId="22" borderId="31" applyNumberFormat="0" applyAlignment="0" applyProtection="0">
      <alignment vertical="center"/>
    </xf>
    <xf numFmtId="0" fontId="36" fillId="23" borderId="32" applyNumberFormat="0" applyAlignment="0" applyProtection="0">
      <alignment vertical="center"/>
    </xf>
    <xf numFmtId="0" fontId="37" fillId="0" borderId="0" applyNumberFormat="0" applyFill="0" applyBorder="0" applyAlignment="0" applyProtection="0">
      <alignment vertical="center"/>
    </xf>
    <xf numFmtId="0" fontId="38" fillId="3" borderId="0" applyNumberFormat="0" applyBorder="0" applyAlignment="0" applyProtection="0">
      <alignment vertical="center"/>
    </xf>
    <xf numFmtId="0" fontId="39" fillId="0" borderId="33" applyNumberFormat="0" applyFill="0" applyAlignment="0" applyProtection="0">
      <alignment vertical="center"/>
    </xf>
    <xf numFmtId="0" fontId="40" fillId="0" borderId="34" applyNumberFormat="0" applyFill="0" applyAlignment="0" applyProtection="0">
      <alignment vertical="center"/>
    </xf>
    <xf numFmtId="0" fontId="41" fillId="0" borderId="35" applyNumberFormat="0" applyFill="0" applyAlignment="0" applyProtection="0">
      <alignment vertical="center"/>
    </xf>
    <xf numFmtId="0" fontId="41" fillId="0" borderId="0" applyNumberFormat="0" applyFill="0" applyBorder="0" applyAlignment="0" applyProtection="0">
      <alignment vertical="center"/>
    </xf>
    <xf numFmtId="0" fontId="42" fillId="9" borderId="31" applyNumberFormat="0" applyAlignment="0" applyProtection="0">
      <alignment vertical="center"/>
    </xf>
    <xf numFmtId="0" fontId="43" fillId="0" borderId="36" applyNumberFormat="0" applyFill="0" applyAlignment="0" applyProtection="0">
      <alignment vertical="center"/>
    </xf>
    <xf numFmtId="0" fontId="44" fillId="24" borderId="0" applyNumberFormat="0" applyBorder="0" applyAlignment="0" applyProtection="0">
      <alignment vertical="center"/>
    </xf>
    <xf numFmtId="0" fontId="31" fillId="25" borderId="37" applyNumberFormat="0" applyFont="0" applyAlignment="0" applyProtection="0">
      <alignment vertical="center"/>
    </xf>
    <xf numFmtId="0" fontId="45" fillId="22" borderId="38" applyNumberFormat="0" applyAlignment="0" applyProtection="0">
      <alignment vertical="center"/>
    </xf>
    <xf numFmtId="0" fontId="46" fillId="0" borderId="0" applyNumberFormat="0" applyFill="0" applyBorder="0" applyAlignment="0" applyProtection="0">
      <alignment vertical="center"/>
    </xf>
    <xf numFmtId="0" fontId="47" fillId="0" borderId="39" applyNumberFormat="0" applyFill="0" applyAlignment="0" applyProtection="0">
      <alignment vertical="center"/>
    </xf>
    <xf numFmtId="0" fontId="48" fillId="0" borderId="0" applyNumberFormat="0" applyFill="0" applyBorder="0" applyAlignment="0" applyProtection="0">
      <alignment vertical="center"/>
    </xf>
    <xf numFmtId="0" fontId="3" fillId="0" borderId="0"/>
    <xf numFmtId="0" fontId="11" fillId="0" borderId="0"/>
    <xf numFmtId="43" fontId="1" fillId="0" borderId="0" applyFont="0" applyFill="0" applyBorder="0" applyAlignment="0" applyProtection="0">
      <alignment vertical="center"/>
    </xf>
    <xf numFmtId="0" fontId="21" fillId="5" borderId="0" applyNumberFormat="0" applyBorder="0" applyAlignment="0" applyProtection="0">
      <alignment vertical="center"/>
    </xf>
    <xf numFmtId="0" fontId="21" fillId="5" borderId="0" applyNumberFormat="0" applyBorder="0" applyAlignment="0" applyProtection="0">
      <alignment vertical="center"/>
    </xf>
    <xf numFmtId="0" fontId="21" fillId="5" borderId="0" applyNumberFormat="0" applyBorder="0" applyAlignment="0" applyProtection="0">
      <alignment vertical="center"/>
    </xf>
    <xf numFmtId="0" fontId="21" fillId="5" borderId="0" applyNumberFormat="0" applyBorder="0" applyAlignment="0" applyProtection="0">
      <alignment vertical="center"/>
    </xf>
    <xf numFmtId="0" fontId="21" fillId="5" borderId="0" applyNumberFormat="0" applyBorder="0" applyAlignment="0" applyProtection="0">
      <alignment vertical="center"/>
    </xf>
    <xf numFmtId="0" fontId="21" fillId="5" borderId="0" applyNumberFormat="0" applyBorder="0" applyAlignment="0" applyProtection="0">
      <alignment vertical="center"/>
    </xf>
    <xf numFmtId="0" fontId="21" fillId="3" borderId="0" applyNumberFormat="0" applyBorder="0" applyAlignment="0" applyProtection="0">
      <alignment vertical="center"/>
    </xf>
    <xf numFmtId="0" fontId="49" fillId="3" borderId="0" applyNumberFormat="0" applyBorder="0" applyAlignment="0" applyProtection="0">
      <alignment vertical="center"/>
    </xf>
    <xf numFmtId="0" fontId="21" fillId="5" borderId="0" applyNumberFormat="0" applyBorder="0" applyAlignment="0" applyProtection="0">
      <alignment vertical="center"/>
    </xf>
    <xf numFmtId="0" fontId="21" fillId="5" borderId="0" applyNumberFormat="0" applyBorder="0" applyAlignment="0" applyProtection="0">
      <alignment vertical="center"/>
    </xf>
    <xf numFmtId="0" fontId="21" fillId="3" borderId="0" applyNumberFormat="0" applyBorder="0" applyAlignment="0" applyProtection="0">
      <alignment vertical="center"/>
    </xf>
    <xf numFmtId="0" fontId="21" fillId="5" borderId="0" applyNumberFormat="0" applyBorder="0" applyAlignment="0" applyProtection="0">
      <alignment vertical="center"/>
    </xf>
    <xf numFmtId="0" fontId="21" fillId="5"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5" borderId="0" applyNumberFormat="0" applyBorder="0" applyAlignment="0" applyProtection="0">
      <alignment vertical="center"/>
    </xf>
    <xf numFmtId="0" fontId="21" fillId="3" borderId="0" applyNumberFormat="0" applyBorder="0" applyAlignment="0" applyProtection="0">
      <alignment vertical="center"/>
    </xf>
    <xf numFmtId="0" fontId="21" fillId="5" borderId="0" applyNumberFormat="0" applyBorder="0" applyAlignment="0" applyProtection="0">
      <alignment vertical="center"/>
    </xf>
    <xf numFmtId="0" fontId="1" fillId="25" borderId="37" applyNumberFormat="0" applyFont="0" applyAlignment="0" applyProtection="0">
      <alignment vertical="center"/>
    </xf>
    <xf numFmtId="0" fontId="22" fillId="2" borderId="0" applyNumberFormat="0" applyBorder="0" applyAlignment="0" applyProtection="0">
      <alignment vertical="center"/>
    </xf>
    <xf numFmtId="0" fontId="50" fillId="24" borderId="0" applyNumberFormat="0" applyBorder="0" applyAlignment="0" applyProtection="0">
      <alignment vertical="center"/>
    </xf>
    <xf numFmtId="0" fontId="33" fillId="18" borderId="0" applyNumberFormat="0" applyBorder="0" applyAlignment="0" applyProtection="0">
      <alignment vertical="center"/>
    </xf>
    <xf numFmtId="0" fontId="33" fillId="19" borderId="0" applyNumberFormat="0" applyBorder="0" applyAlignment="0" applyProtection="0">
      <alignment vertical="center"/>
    </xf>
    <xf numFmtId="0" fontId="33" fillId="20" borderId="0" applyNumberFormat="0" applyBorder="0" applyAlignment="0" applyProtection="0">
      <alignment vertical="center"/>
    </xf>
    <xf numFmtId="0" fontId="33" fillId="15" borderId="0" applyNumberFormat="0" applyBorder="0" applyAlignment="0" applyProtection="0">
      <alignment vertical="center"/>
    </xf>
    <xf numFmtId="0" fontId="33" fillId="16" borderId="0" applyNumberFormat="0" applyBorder="0" applyAlignment="0" applyProtection="0">
      <alignment vertical="center"/>
    </xf>
    <xf numFmtId="0" fontId="33" fillId="21" borderId="0" applyNumberFormat="0" applyBorder="0" applyAlignment="0" applyProtection="0">
      <alignment vertical="center"/>
    </xf>
    <xf numFmtId="0" fontId="51" fillId="0" borderId="0" applyNumberFormat="0" applyFill="0" applyBorder="0" applyAlignment="0" applyProtection="0">
      <alignment vertical="center"/>
    </xf>
    <xf numFmtId="0" fontId="52" fillId="9" borderId="31" applyNumberFormat="0" applyAlignment="0" applyProtection="0">
      <alignment vertical="center"/>
    </xf>
    <xf numFmtId="0" fontId="53" fillId="22" borderId="38" applyNumberFormat="0" applyAlignment="0" applyProtection="0">
      <alignment vertical="center"/>
    </xf>
    <xf numFmtId="0" fontId="6" fillId="0" borderId="0" applyNumberFormat="0" applyFill="0" applyBorder="0" applyAlignment="0" applyProtection="0">
      <alignment vertical="top"/>
      <protection locked="0"/>
    </xf>
    <xf numFmtId="0" fontId="22" fillId="4" borderId="0" applyNumberFormat="0" applyBorder="0" applyAlignment="0" applyProtection="0">
      <alignment vertical="center"/>
    </xf>
    <xf numFmtId="0" fontId="22" fillId="4" borderId="0" applyNumberFormat="0" applyBorder="0" applyAlignment="0" applyProtection="0">
      <alignment vertical="center"/>
    </xf>
    <xf numFmtId="0" fontId="22" fillId="4" borderId="0" applyNumberFormat="0" applyBorder="0" applyAlignment="0" applyProtection="0">
      <alignment vertical="center"/>
    </xf>
    <xf numFmtId="0" fontId="22" fillId="4" borderId="0" applyNumberFormat="0" applyBorder="0" applyAlignment="0" applyProtection="0">
      <alignment vertical="center"/>
    </xf>
    <xf numFmtId="0" fontId="22" fillId="4" borderId="0" applyNumberFormat="0" applyBorder="0" applyAlignment="0" applyProtection="0">
      <alignment vertical="center"/>
    </xf>
    <xf numFmtId="0" fontId="22" fillId="4" borderId="0" applyNumberFormat="0" applyBorder="0" applyAlignment="0" applyProtection="0">
      <alignment vertical="center"/>
    </xf>
    <xf numFmtId="0" fontId="22" fillId="2" borderId="0" applyNumberFormat="0" applyBorder="0" applyAlignment="0" applyProtection="0">
      <alignment vertical="center"/>
    </xf>
    <xf numFmtId="0" fontId="54" fillId="2" borderId="0" applyNumberFormat="0" applyBorder="0" applyAlignment="0" applyProtection="0">
      <alignment vertical="center"/>
    </xf>
    <xf numFmtId="0" fontId="22" fillId="4" borderId="0" applyNumberFormat="0" applyBorder="0" applyAlignment="0" applyProtection="0">
      <alignment vertical="center"/>
    </xf>
    <xf numFmtId="0" fontId="22" fillId="4" borderId="0" applyNumberFormat="0" applyBorder="0" applyAlignment="0" applyProtection="0">
      <alignment vertical="center"/>
    </xf>
    <xf numFmtId="0" fontId="22" fillId="2" borderId="0" applyNumberFormat="0" applyBorder="0" applyAlignment="0" applyProtection="0">
      <alignment vertical="center"/>
    </xf>
    <xf numFmtId="0" fontId="22" fillId="4" borderId="0" applyNumberFormat="0" applyBorder="0" applyAlignment="0" applyProtection="0">
      <alignment vertical="center"/>
    </xf>
    <xf numFmtId="0" fontId="22" fillId="4"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4" borderId="0" applyNumberFormat="0" applyBorder="0" applyAlignment="0" applyProtection="0">
      <alignment vertical="center"/>
    </xf>
    <xf numFmtId="0" fontId="22" fillId="2" borderId="0" applyNumberFormat="0" applyBorder="0" applyAlignment="0" applyProtection="0">
      <alignment vertical="center"/>
    </xf>
    <xf numFmtId="0" fontId="22" fillId="4" borderId="0" applyNumberFormat="0" applyBorder="0" applyAlignment="0" applyProtection="0">
      <alignment vertical="center"/>
    </xf>
    <xf numFmtId="0" fontId="55"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39" fillId="0" borderId="33" applyNumberFormat="0" applyFill="0" applyAlignment="0" applyProtection="0">
      <alignment vertical="center"/>
    </xf>
    <xf numFmtId="0" fontId="40" fillId="0" borderId="34" applyNumberFormat="0" applyFill="0" applyAlignment="0" applyProtection="0">
      <alignment vertical="center"/>
    </xf>
    <xf numFmtId="0" fontId="41" fillId="0" borderId="35" applyNumberFormat="0" applyFill="0" applyAlignment="0" applyProtection="0">
      <alignment vertical="center"/>
    </xf>
    <xf numFmtId="0" fontId="41" fillId="0" borderId="0" applyNumberFormat="0" applyFill="0" applyBorder="0" applyAlignment="0" applyProtection="0">
      <alignment vertical="center"/>
    </xf>
    <xf numFmtId="0" fontId="54" fillId="23" borderId="32" applyNumberFormat="0" applyAlignment="0" applyProtection="0">
      <alignment vertical="center"/>
    </xf>
    <xf numFmtId="0" fontId="49" fillId="0" borderId="39" applyNumberFormat="0" applyFill="0" applyAlignment="0" applyProtection="0">
      <alignment vertical="center"/>
    </xf>
    <xf numFmtId="0" fontId="56" fillId="22" borderId="31" applyNumberFormat="0" applyAlignment="0" applyProtection="0">
      <alignment vertical="center"/>
    </xf>
    <xf numFmtId="0" fontId="57" fillId="0" borderId="36" applyNumberFormat="0" applyFill="0" applyAlignment="0" applyProtection="0">
      <alignment vertical="center"/>
    </xf>
    <xf numFmtId="0" fontId="3" fillId="0" borderId="0" applyFont="0" applyFill="0" applyBorder="0" applyAlignment="0" applyProtection="0"/>
    <xf numFmtId="0" fontId="1" fillId="0" borderId="0">
      <alignment vertical="center"/>
    </xf>
    <xf numFmtId="0" fontId="3" fillId="0" borderId="0"/>
    <xf numFmtId="0" fontId="1" fillId="0" borderId="0">
      <alignment vertical="center"/>
    </xf>
    <xf numFmtId="0" fontId="3" fillId="0" borderId="0"/>
    <xf numFmtId="0" fontId="31" fillId="0" borderId="0">
      <alignment vertical="center"/>
    </xf>
    <xf numFmtId="0" fontId="3" fillId="0" borderId="0"/>
    <xf numFmtId="0" fontId="31" fillId="0" borderId="0">
      <alignment vertical="center"/>
    </xf>
    <xf numFmtId="0" fontId="58" fillId="0" borderId="0"/>
    <xf numFmtId="0" fontId="21" fillId="5" borderId="0" applyNumberFormat="0" applyBorder="0" applyAlignment="0" applyProtection="0">
      <alignment vertical="center"/>
    </xf>
    <xf numFmtId="0" fontId="21" fillId="3" borderId="0" applyNumberFormat="0" applyBorder="0" applyAlignment="0" applyProtection="0">
      <alignment vertical="center"/>
    </xf>
    <xf numFmtId="0" fontId="21" fillId="5"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59"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5" borderId="0" applyNumberFormat="0" applyBorder="0" applyAlignment="0" applyProtection="0">
      <alignment vertical="center"/>
    </xf>
    <xf numFmtId="0" fontId="21" fillId="5" borderId="0" applyNumberFormat="0" applyBorder="0" applyAlignment="0" applyProtection="0">
      <alignment vertical="center"/>
    </xf>
    <xf numFmtId="0" fontId="59" fillId="5"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5" borderId="0" applyNumberFormat="0" applyBorder="0" applyAlignment="0" applyProtection="0">
      <alignment vertical="center"/>
    </xf>
    <xf numFmtId="0" fontId="21" fillId="5" borderId="0" applyNumberFormat="0" applyBorder="0" applyAlignment="0" applyProtection="0">
      <alignment vertical="center"/>
    </xf>
    <xf numFmtId="0" fontId="21" fillId="5" borderId="0" applyNumberFormat="0" applyBorder="0" applyAlignment="0" applyProtection="0">
      <alignment vertical="center"/>
    </xf>
    <xf numFmtId="0" fontId="21" fillId="3" borderId="0" applyNumberFormat="0" applyBorder="0" applyAlignment="0" applyProtection="0">
      <alignment vertical="center"/>
    </xf>
    <xf numFmtId="0" fontId="21" fillId="5" borderId="0" applyNumberFormat="0" applyBorder="0" applyAlignment="0" applyProtection="0">
      <alignment vertical="center"/>
    </xf>
    <xf numFmtId="0" fontId="21" fillId="5" borderId="0" applyNumberFormat="0" applyBorder="0" applyAlignment="0" applyProtection="0">
      <alignment vertical="center"/>
    </xf>
    <xf numFmtId="0" fontId="21" fillId="3" borderId="0" applyNumberFormat="0" applyBorder="0" applyAlignment="0" applyProtection="0">
      <alignment vertical="center"/>
    </xf>
    <xf numFmtId="0" fontId="21" fillId="5"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9" fontId="1" fillId="0" borderId="0" applyFont="0" applyFill="0" applyBorder="0" applyAlignment="0" applyProtection="0"/>
    <xf numFmtId="9" fontId="1" fillId="0" borderId="0" applyFont="0" applyFill="0" applyBorder="0" applyAlignment="0" applyProtection="0">
      <alignment vertical="center"/>
    </xf>
    <xf numFmtId="0" fontId="5" fillId="0" borderId="0" applyNumberFormat="0" applyFill="0" applyBorder="0" applyAlignment="0" applyProtection="0">
      <alignment vertical="top"/>
      <protection locked="0"/>
    </xf>
    <xf numFmtId="0" fontId="22" fillId="4" borderId="0" applyNumberFormat="0" applyBorder="0" applyAlignment="0" applyProtection="0">
      <alignment vertical="center"/>
    </xf>
    <xf numFmtId="0" fontId="22" fillId="2" borderId="0" applyNumberFormat="0" applyBorder="0" applyAlignment="0" applyProtection="0">
      <alignment vertical="center"/>
    </xf>
    <xf numFmtId="0" fontId="22" fillId="4"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53"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4" borderId="0" applyNumberFormat="0" applyBorder="0" applyAlignment="0" applyProtection="0">
      <alignment vertical="center"/>
    </xf>
    <xf numFmtId="0" fontId="22" fillId="4" borderId="0" applyNumberFormat="0" applyBorder="0" applyAlignment="0" applyProtection="0">
      <alignment vertical="center"/>
    </xf>
    <xf numFmtId="0" fontId="53" fillId="4"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4" borderId="0" applyNumberFormat="0" applyBorder="0" applyAlignment="0" applyProtection="0">
      <alignment vertical="center"/>
    </xf>
    <xf numFmtId="0" fontId="22" fillId="4" borderId="0" applyNumberFormat="0" applyBorder="0" applyAlignment="0" applyProtection="0">
      <alignment vertical="center"/>
    </xf>
    <xf numFmtId="0" fontId="22" fillId="4" borderId="0" applyNumberFormat="0" applyBorder="0" applyAlignment="0" applyProtection="0">
      <alignment vertical="center"/>
    </xf>
    <xf numFmtId="0" fontId="22" fillId="2" borderId="0" applyNumberFormat="0" applyBorder="0" applyAlignment="0" applyProtection="0">
      <alignment vertical="center"/>
    </xf>
    <xf numFmtId="0" fontId="22" fillId="4" borderId="0" applyNumberFormat="0" applyBorder="0" applyAlignment="0" applyProtection="0">
      <alignment vertical="center"/>
    </xf>
    <xf numFmtId="0" fontId="22" fillId="4" borderId="0" applyNumberFormat="0" applyBorder="0" applyAlignment="0" applyProtection="0">
      <alignment vertical="center"/>
    </xf>
    <xf numFmtId="0" fontId="22" fillId="2" borderId="0" applyNumberFormat="0" applyBorder="0" applyAlignment="0" applyProtection="0">
      <alignment vertical="center"/>
    </xf>
    <xf numFmtId="0" fontId="22" fillId="4"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60" fillId="0" borderId="0" applyNumberFormat="0" applyFill="0" applyBorder="0" applyAlignment="0" applyProtection="0">
      <alignment vertical="top"/>
      <protection locked="0"/>
    </xf>
    <xf numFmtId="41" fontId="1" fillId="0" borderId="0" applyFont="0" applyFill="0" applyBorder="0" applyAlignment="0" applyProtection="0"/>
    <xf numFmtId="0" fontId="21" fillId="5"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5"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2" fillId="4"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4"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5"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4"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43" fontId="1" fillId="0" borderId="0" applyFont="0" applyFill="0" applyBorder="0" applyAlignment="0" applyProtection="0">
      <alignment vertical="center"/>
    </xf>
    <xf numFmtId="0" fontId="3" fillId="0" borderId="0"/>
  </cellStyleXfs>
  <cellXfs count="424">
    <xf numFmtId="0" fontId="0" fillId="0" borderId="0" xfId="0"/>
    <xf numFmtId="0" fontId="18" fillId="6" borderId="0" xfId="5" applyNumberFormat="1" applyFont="1" applyFill="1" applyAlignment="1">
      <alignment horizontal="left" vertical="center"/>
    </xf>
    <xf numFmtId="0" fontId="8" fillId="6" borderId="0" xfId="4" applyNumberFormat="1" applyFont="1" applyFill="1" applyAlignment="1">
      <alignment vertical="center"/>
    </xf>
    <xf numFmtId="0" fontId="11" fillId="6" borderId="0" xfId="0" applyNumberFormat="1" applyFont="1" applyFill="1" applyAlignment="1">
      <alignment vertical="center"/>
    </xf>
    <xf numFmtId="0" fontId="11" fillId="6" borderId="0" xfId="0" applyNumberFormat="1" applyFont="1" applyFill="1" applyAlignment="1">
      <alignment horizontal="center" vertical="center"/>
    </xf>
    <xf numFmtId="0" fontId="11" fillId="6" borderId="0" xfId="0" applyNumberFormat="1" applyFont="1" applyFill="1" applyAlignment="1">
      <alignment horizontal="left" vertical="center"/>
    </xf>
    <xf numFmtId="0" fontId="11" fillId="6" borderId="0" xfId="0" applyNumberFormat="1" applyFont="1" applyFill="1" applyBorder="1" applyAlignment="1">
      <alignment vertical="center"/>
    </xf>
    <xf numFmtId="0" fontId="11" fillId="6" borderId="12" xfId="0" applyNumberFormat="1" applyFont="1" applyFill="1" applyBorder="1" applyAlignment="1">
      <alignment vertical="center"/>
    </xf>
    <xf numFmtId="0" fontId="11" fillId="6" borderId="0" xfId="5" applyNumberFormat="1" applyFont="1" applyFill="1" applyAlignment="1">
      <alignment vertical="center"/>
    </xf>
    <xf numFmtId="0" fontId="8" fillId="6" borderId="0" xfId="3" applyNumberFormat="1" applyFont="1" applyFill="1" applyBorder="1" applyAlignment="1">
      <alignment vertical="center"/>
    </xf>
    <xf numFmtId="0" fontId="8" fillId="6" borderId="0" xfId="5" applyNumberFormat="1" applyFont="1" applyFill="1" applyAlignment="1">
      <alignment vertical="center"/>
    </xf>
    <xf numFmtId="0" fontId="11" fillId="6" borderId="0" xfId="5" applyNumberFormat="1" applyFont="1" applyFill="1" applyAlignment="1">
      <alignment horizontal="right" vertical="center"/>
    </xf>
    <xf numFmtId="0" fontId="8" fillId="6" borderId="0" xfId="0" applyNumberFormat="1" applyFont="1" applyFill="1" applyAlignment="1">
      <alignment horizontal="right" vertical="center"/>
    </xf>
    <xf numFmtId="0" fontId="27" fillId="6" borderId="0" xfId="0" applyNumberFormat="1" applyFont="1" applyFill="1" applyAlignment="1">
      <alignment vertical="center"/>
    </xf>
    <xf numFmtId="0" fontId="8" fillId="6" borderId="0" xfId="6" applyNumberFormat="1" applyFont="1" applyFill="1" applyAlignment="1">
      <alignment vertical="center"/>
    </xf>
    <xf numFmtId="0" fontId="16" fillId="6" borderId="0" xfId="5" applyNumberFormat="1" applyFont="1" applyFill="1" applyBorder="1" applyAlignment="1">
      <alignment horizontal="left" vertical="center"/>
    </xf>
    <xf numFmtId="0" fontId="11" fillId="6" borderId="0" xfId="3" applyNumberFormat="1" applyFont="1" applyFill="1" applyBorder="1" applyAlignment="1">
      <alignment vertical="center"/>
    </xf>
    <xf numFmtId="0" fontId="7" fillId="6" borderId="0" xfId="6" applyNumberFormat="1" applyFont="1" applyFill="1" applyAlignment="1">
      <alignment vertical="center"/>
    </xf>
    <xf numFmtId="0" fontId="15" fillId="6" borderId="0" xfId="6" applyNumberFormat="1" applyFont="1" applyFill="1" applyAlignment="1">
      <alignment vertical="center"/>
    </xf>
    <xf numFmtId="0" fontId="15" fillId="0" borderId="0" xfId="6" applyNumberFormat="1" applyFont="1" applyAlignment="1">
      <alignment vertical="center"/>
    </xf>
    <xf numFmtId="0" fontId="9" fillId="6" borderId="0" xfId="6" applyNumberFormat="1" applyFont="1" applyFill="1" applyAlignment="1">
      <alignment vertical="center"/>
    </xf>
    <xf numFmtId="0" fontId="11" fillId="0" borderId="0" xfId="6" applyNumberFormat="1" applyFont="1" applyAlignment="1">
      <alignment vertical="center"/>
    </xf>
    <xf numFmtId="0" fontId="12" fillId="6" borderId="0" xfId="6" applyNumberFormat="1" applyFont="1" applyFill="1" applyAlignment="1">
      <alignment vertical="center"/>
    </xf>
    <xf numFmtId="0" fontId="11" fillId="6" borderId="0" xfId="6" applyNumberFormat="1" applyFont="1" applyFill="1" applyBorder="1" applyAlignment="1">
      <alignment vertical="center"/>
    </xf>
    <xf numFmtId="0" fontId="7" fillId="0" borderId="0" xfId="6" applyNumberFormat="1" applyFont="1" applyBorder="1" applyAlignment="1">
      <alignment vertical="center"/>
    </xf>
    <xf numFmtId="0" fontId="8" fillId="6" borderId="0" xfId="6" applyNumberFormat="1" applyFont="1" applyFill="1" applyBorder="1" applyAlignment="1">
      <alignment horizontal="left" vertical="center"/>
    </xf>
    <xf numFmtId="0" fontId="24" fillId="6" borderId="0" xfId="6" applyNumberFormat="1" applyFont="1" applyFill="1" applyBorder="1" applyAlignment="1">
      <alignment horizontal="left" vertical="center"/>
    </xf>
    <xf numFmtId="0" fontId="20" fillId="6" borderId="0" xfId="6" applyNumberFormat="1" applyFont="1" applyFill="1" applyBorder="1" applyAlignment="1">
      <alignment horizontal="left" vertical="center"/>
    </xf>
    <xf numFmtId="0" fontId="11" fillId="6" borderId="1" xfId="6" applyNumberFormat="1" applyFont="1" applyFill="1" applyBorder="1" applyAlignment="1">
      <alignment vertical="center"/>
    </xf>
    <xf numFmtId="0" fontId="8" fillId="6" borderId="1" xfId="3" applyNumberFormat="1" applyFont="1" applyFill="1" applyBorder="1" applyAlignment="1">
      <alignment vertical="center"/>
    </xf>
    <xf numFmtId="0" fontId="8" fillId="6" borderId="0" xfId="6" applyNumberFormat="1" applyFont="1" applyFill="1" applyAlignment="1">
      <alignment horizontal="left" vertical="center"/>
    </xf>
    <xf numFmtId="0" fontId="8" fillId="6" borderId="0" xfId="6" applyNumberFormat="1" applyFont="1" applyFill="1" applyBorder="1" applyAlignment="1">
      <alignment vertical="center"/>
    </xf>
    <xf numFmtId="0" fontId="10" fillId="6" borderId="0" xfId="5" applyNumberFormat="1" applyFont="1" applyFill="1" applyBorder="1" applyAlignment="1">
      <alignment vertical="center" shrinkToFit="1"/>
    </xf>
    <xf numFmtId="0" fontId="10" fillId="6" borderId="0" xfId="5" applyNumberFormat="1" applyFont="1" applyFill="1" applyBorder="1" applyAlignment="1">
      <alignment vertical="center"/>
    </xf>
    <xf numFmtId="0" fontId="11" fillId="6" borderId="11" xfId="0" applyNumberFormat="1" applyFont="1" applyFill="1" applyBorder="1" applyAlignment="1">
      <alignment vertical="center"/>
    </xf>
    <xf numFmtId="0" fontId="8" fillId="6" borderId="0" xfId="0" applyNumberFormat="1" applyFont="1" applyFill="1" applyBorder="1" applyAlignment="1">
      <alignment horizontal="center" vertical="center"/>
    </xf>
    <xf numFmtId="0" fontId="8" fillId="6" borderId="0" xfId="0" applyNumberFormat="1" applyFont="1" applyFill="1" applyBorder="1" applyAlignment="1">
      <alignment vertical="center"/>
    </xf>
    <xf numFmtId="0" fontId="8" fillId="6" borderId="0" xfId="8" applyNumberFormat="1" applyFont="1" applyFill="1" applyBorder="1" applyAlignment="1">
      <alignment horizontal="right" vertical="center"/>
    </xf>
    <xf numFmtId="0" fontId="8" fillId="6" borderId="0" xfId="8" quotePrefix="1" applyNumberFormat="1" applyFont="1" applyFill="1" applyBorder="1" applyAlignment="1">
      <alignment vertical="center"/>
    </xf>
    <xf numFmtId="0" fontId="11" fillId="6" borderId="0" xfId="18" applyNumberFormat="1" applyFont="1" applyFill="1" applyAlignment="1">
      <alignment vertical="center"/>
    </xf>
    <xf numFmtId="0" fontId="11" fillId="6" borderId="0" xfId="18" quotePrefix="1" applyNumberFormat="1" applyFont="1" applyFill="1" applyBorder="1" applyAlignment="1" applyProtection="1">
      <alignment horizontal="center" vertical="center"/>
      <protection locked="0"/>
    </xf>
    <xf numFmtId="0" fontId="8" fillId="6" borderId="0" xfId="8" applyNumberFormat="1" applyFont="1" applyFill="1" applyBorder="1" applyAlignment="1">
      <alignment vertical="center"/>
    </xf>
    <xf numFmtId="0" fontId="11" fillId="6" borderId="1" xfId="18" applyNumberFormat="1" applyFont="1" applyFill="1" applyBorder="1" applyAlignment="1">
      <alignment vertical="center"/>
    </xf>
    <xf numFmtId="0" fontId="11" fillId="6" borderId="1" xfId="18" quotePrefix="1" applyNumberFormat="1" applyFont="1" applyFill="1" applyBorder="1" applyAlignment="1" applyProtection="1">
      <alignment horizontal="center" vertical="center"/>
      <protection locked="0"/>
    </xf>
    <xf numFmtId="0" fontId="14" fillId="6" borderId="0" xfId="3" applyNumberFormat="1" applyFont="1" applyFill="1" applyBorder="1" applyAlignment="1">
      <alignment vertical="center"/>
    </xf>
    <xf numFmtId="0" fontId="11" fillId="6" borderId="0" xfId="18" applyNumberFormat="1" applyFont="1" applyFill="1" applyBorder="1" applyAlignment="1">
      <alignment vertical="center"/>
    </xf>
    <xf numFmtId="0" fontId="8" fillId="6" borderId="0" xfId="6" applyNumberFormat="1" applyFont="1" applyFill="1" applyAlignment="1">
      <alignment horizontal="center" vertical="center"/>
    </xf>
    <xf numFmtId="0" fontId="26" fillId="6" borderId="0" xfId="6" applyNumberFormat="1" applyFont="1" applyFill="1" applyAlignment="1">
      <alignment vertical="center"/>
    </xf>
    <xf numFmtId="0" fontId="29" fillId="6" borderId="0" xfId="6" applyNumberFormat="1" applyFont="1" applyFill="1" applyAlignment="1">
      <alignment vertical="center"/>
    </xf>
    <xf numFmtId="0" fontId="11" fillId="6" borderId="0" xfId="6" applyNumberFormat="1" applyFont="1" applyFill="1" applyAlignment="1">
      <alignment horizontal="left" vertical="center"/>
    </xf>
    <xf numFmtId="0" fontId="11" fillId="6" borderId="0" xfId="6" applyNumberFormat="1" applyFont="1" applyFill="1" applyAlignment="1">
      <alignment horizontal="right" vertical="center"/>
    </xf>
    <xf numFmtId="0" fontId="11" fillId="6" borderId="8" xfId="6" applyNumberFormat="1" applyFont="1" applyFill="1" applyBorder="1" applyAlignment="1">
      <alignment vertical="center"/>
    </xf>
    <xf numFmtId="0" fontId="11" fillId="6" borderId="9" xfId="6" applyNumberFormat="1" applyFont="1" applyFill="1" applyBorder="1" applyAlignment="1">
      <alignment vertical="center"/>
    </xf>
    <xf numFmtId="0" fontId="13" fillId="6" borderId="9" xfId="6" applyNumberFormat="1" applyFont="1" applyFill="1" applyBorder="1" applyAlignment="1">
      <alignment vertical="center"/>
    </xf>
    <xf numFmtId="0" fontId="13" fillId="6" borderId="9" xfId="9" applyNumberFormat="1" applyFont="1" applyFill="1" applyBorder="1" applyAlignment="1">
      <alignment vertical="center"/>
    </xf>
    <xf numFmtId="0" fontId="11" fillId="6" borderId="10" xfId="6" applyNumberFormat="1" applyFont="1" applyFill="1" applyBorder="1" applyAlignment="1">
      <alignment vertical="center"/>
    </xf>
    <xf numFmtId="0" fontId="11" fillId="6" borderId="11" xfId="6" applyNumberFormat="1" applyFont="1" applyFill="1" applyBorder="1" applyAlignment="1">
      <alignment vertical="center"/>
    </xf>
    <xf numFmtId="0" fontId="8" fillId="6" borderId="0" xfId="9" applyNumberFormat="1" applyFont="1" applyFill="1" applyBorder="1" applyAlignment="1">
      <alignment vertical="center"/>
    </xf>
    <xf numFmtId="0" fontId="11" fillId="6" borderId="12" xfId="6" applyNumberFormat="1" applyFont="1" applyFill="1" applyBorder="1" applyAlignment="1">
      <alignment vertical="center"/>
    </xf>
    <xf numFmtId="0" fontId="8" fillId="6" borderId="0" xfId="8" applyNumberFormat="1" applyFont="1" applyFill="1" applyBorder="1" applyAlignment="1">
      <alignment horizontal="center" vertical="center"/>
    </xf>
    <xf numFmtId="0" fontId="20" fillId="6" borderId="0" xfId="8" applyNumberFormat="1" applyFont="1" applyFill="1" applyBorder="1" applyAlignment="1">
      <alignment vertical="center"/>
    </xf>
    <xf numFmtId="0" fontId="11" fillId="6" borderId="13" xfId="6" applyNumberFormat="1" applyFont="1" applyFill="1" applyBorder="1" applyAlignment="1">
      <alignment vertical="center"/>
    </xf>
    <xf numFmtId="0" fontId="11" fillId="6" borderId="14" xfId="6" applyNumberFormat="1" applyFont="1" applyFill="1" applyBorder="1" applyAlignment="1">
      <alignment vertical="center"/>
    </xf>
    <xf numFmtId="0" fontId="12" fillId="6" borderId="14" xfId="6" applyNumberFormat="1" applyFont="1" applyFill="1" applyBorder="1" applyAlignment="1">
      <alignment vertical="center"/>
    </xf>
    <xf numFmtId="0" fontId="11" fillId="6" borderId="15" xfId="6" applyNumberFormat="1" applyFont="1" applyFill="1" applyBorder="1" applyAlignment="1">
      <alignment vertical="center"/>
    </xf>
    <xf numFmtId="0" fontId="12" fillId="6" borderId="0" xfId="6" applyNumberFormat="1" applyFont="1" applyFill="1" applyBorder="1" applyAlignment="1">
      <alignment vertical="center"/>
    </xf>
    <xf numFmtId="0" fontId="11" fillId="6" borderId="0" xfId="3" applyNumberFormat="1" applyFont="1" applyFill="1" applyBorder="1" applyAlignment="1">
      <alignment horizontal="left" vertical="center"/>
    </xf>
    <xf numFmtId="0" fontId="13" fillId="6" borderId="0" xfId="6" applyNumberFormat="1" applyFont="1" applyFill="1" applyAlignment="1">
      <alignment vertical="center"/>
    </xf>
    <xf numFmtId="0" fontId="8" fillId="6" borderId="0" xfId="0" applyNumberFormat="1" applyFont="1" applyFill="1" applyBorder="1" applyAlignment="1">
      <alignment horizontal="left" vertical="center"/>
    </xf>
    <xf numFmtId="0" fontId="11" fillId="6" borderId="0" xfId="6" applyNumberFormat="1" applyFont="1" applyFill="1" applyAlignment="1">
      <alignment horizontal="center" vertical="center"/>
    </xf>
    <xf numFmtId="0" fontId="11" fillId="6" borderId="0" xfId="6" applyNumberFormat="1" applyFont="1" applyFill="1" applyAlignment="1">
      <alignment vertical="center"/>
    </xf>
    <xf numFmtId="0" fontId="8" fillId="6" borderId="0" xfId="5" applyNumberFormat="1" applyFont="1" applyFill="1" applyBorder="1" applyAlignment="1">
      <alignment horizontal="center" vertical="center"/>
    </xf>
    <xf numFmtId="0" fontId="11" fillId="6" borderId="0" xfId="5" applyNumberFormat="1" applyFont="1" applyFill="1" applyBorder="1" applyAlignment="1">
      <alignment vertical="center" shrinkToFit="1"/>
    </xf>
    <xf numFmtId="0" fontId="62" fillId="7" borderId="0" xfId="161" applyFont="1" applyFill="1"/>
    <xf numFmtId="0" fontId="63" fillId="7" borderId="0" xfId="161" applyFont="1" applyFill="1"/>
    <xf numFmtId="0" fontId="63" fillId="7" borderId="0" xfId="161" applyFont="1" applyFill="1" applyAlignment="1">
      <alignment horizontal="center"/>
    </xf>
    <xf numFmtId="0" fontId="63" fillId="7" borderId="0" xfId="161" applyFont="1" applyFill="1" applyBorder="1" applyAlignment="1">
      <alignment horizontal="center"/>
    </xf>
    <xf numFmtId="0" fontId="62" fillId="7" borderId="0" xfId="161" applyFont="1" applyFill="1" applyBorder="1"/>
    <xf numFmtId="0" fontId="62" fillId="7" borderId="0" xfId="161" applyFont="1" applyFill="1" applyBorder="1" applyAlignment="1">
      <alignment horizontal="left"/>
    </xf>
    <xf numFmtId="0" fontId="62" fillId="7" borderId="0" xfId="161" applyFont="1" applyFill="1" applyBorder="1" applyAlignment="1">
      <alignment horizontal="center"/>
    </xf>
    <xf numFmtId="0" fontId="63" fillId="7" borderId="0" xfId="161" applyFont="1" applyFill="1" applyAlignment="1">
      <alignment horizontal="center"/>
    </xf>
    <xf numFmtId="0" fontId="70" fillId="0" borderId="0" xfId="0" applyFont="1"/>
    <xf numFmtId="0" fontId="62" fillId="7" borderId="0" xfId="161" applyFont="1" applyFill="1" applyBorder="1" applyAlignment="1">
      <alignment horizontal="center" vertical="center"/>
    </xf>
    <xf numFmtId="0" fontId="62" fillId="7" borderId="0" xfId="161" applyFont="1" applyFill="1" applyBorder="1" applyAlignment="1">
      <alignment vertical="center"/>
    </xf>
    <xf numFmtId="0" fontId="62" fillId="7" borderId="0" xfId="161" applyFont="1" applyFill="1" applyAlignment="1">
      <alignment horizontal="center" vertical="center"/>
    </xf>
    <xf numFmtId="0" fontId="63" fillId="7" borderId="0" xfId="161" applyFont="1" applyFill="1" applyBorder="1" applyAlignment="1">
      <alignment horizontal="left"/>
    </xf>
    <xf numFmtId="0" fontId="62" fillId="7" borderId="0" xfId="161" applyFont="1" applyFill="1" applyAlignment="1">
      <alignment vertical="center"/>
    </xf>
    <xf numFmtId="0" fontId="63" fillId="7" borderId="0" xfId="161" applyFont="1" applyFill="1" applyBorder="1" applyAlignment="1">
      <alignment horizontal="center" vertical="center"/>
    </xf>
    <xf numFmtId="0" fontId="62" fillId="7" borderId="0" xfId="161" applyFont="1" applyFill="1" applyBorder="1" applyAlignment="1">
      <alignment horizontal="left" vertical="center"/>
    </xf>
    <xf numFmtId="0" fontId="62" fillId="7" borderId="0" xfId="161" applyFont="1" applyFill="1" applyBorder="1" applyAlignment="1">
      <alignment horizontal="right" vertical="center"/>
    </xf>
    <xf numFmtId="0" fontId="63" fillId="7" borderId="0" xfId="161" applyFont="1" applyFill="1" applyBorder="1" applyAlignment="1">
      <alignment vertical="center"/>
    </xf>
    <xf numFmtId="0" fontId="62" fillId="7" borderId="0" xfId="161" applyFont="1" applyFill="1" applyBorder="1" applyAlignment="1">
      <alignment horizontal="left" vertical="center"/>
    </xf>
    <xf numFmtId="0" fontId="62" fillId="7" borderId="0" xfId="161" applyFont="1" applyFill="1" applyBorder="1" applyAlignment="1">
      <alignment horizontal="center" vertical="center"/>
    </xf>
    <xf numFmtId="0" fontId="62" fillId="7" borderId="0" xfId="161" applyFont="1" applyFill="1" applyBorder="1" applyAlignment="1">
      <alignment horizontal="center" vertical="center" shrinkToFit="1"/>
    </xf>
    <xf numFmtId="0" fontId="62" fillId="7" borderId="0" xfId="161" applyFont="1" applyFill="1" applyBorder="1" applyAlignment="1">
      <alignment vertical="center" wrapText="1"/>
    </xf>
    <xf numFmtId="178" fontId="62" fillId="7" borderId="0" xfId="161" applyNumberFormat="1" applyFont="1" applyFill="1" applyBorder="1" applyAlignment="1">
      <alignment horizontal="center" vertical="center"/>
    </xf>
    <xf numFmtId="179" fontId="62" fillId="7" borderId="0" xfId="161" applyNumberFormat="1" applyFont="1" applyFill="1" applyBorder="1" applyAlignment="1">
      <alignment horizontal="center" vertical="center"/>
    </xf>
    <xf numFmtId="177" fontId="62" fillId="7" borderId="0" xfId="161" applyNumberFormat="1" applyFont="1" applyFill="1" applyBorder="1" applyAlignment="1">
      <alignment vertical="center"/>
    </xf>
    <xf numFmtId="177" fontId="62" fillId="7" borderId="0" xfId="161" applyNumberFormat="1" applyFont="1" applyFill="1" applyBorder="1" applyAlignment="1">
      <alignment horizontal="center" vertical="center"/>
    </xf>
    <xf numFmtId="179" fontId="62" fillId="7" borderId="0" xfId="161" applyNumberFormat="1" applyFont="1" applyFill="1" applyBorder="1" applyAlignment="1">
      <alignment vertical="center"/>
    </xf>
    <xf numFmtId="0" fontId="69" fillId="7" borderId="0" xfId="161" applyFont="1" applyFill="1" applyAlignment="1">
      <alignment vertical="center"/>
    </xf>
    <xf numFmtId="0" fontId="67" fillId="7" borderId="0" xfId="161" applyFont="1" applyFill="1" applyAlignment="1">
      <alignment vertical="center"/>
    </xf>
    <xf numFmtId="0" fontId="63" fillId="7" borderId="0" xfId="161" applyFont="1" applyFill="1" applyAlignment="1">
      <alignment vertical="center"/>
    </xf>
    <xf numFmtId="0" fontId="63" fillId="7" borderId="43" xfId="161" applyFont="1" applyFill="1" applyBorder="1" applyAlignment="1">
      <alignment vertical="center"/>
    </xf>
    <xf numFmtId="0" fontId="66" fillId="7" borderId="0" xfId="161" applyFont="1" applyFill="1" applyAlignment="1">
      <alignment vertical="center"/>
    </xf>
    <xf numFmtId="0" fontId="64" fillId="7" borderId="0" xfId="161" applyFont="1" applyFill="1" applyAlignment="1">
      <alignment vertical="center"/>
    </xf>
    <xf numFmtId="0" fontId="62" fillId="7" borderId="0" xfId="161" applyFont="1" applyFill="1" applyBorder="1" applyAlignment="1">
      <alignment horizontal="center" vertical="center"/>
    </xf>
    <xf numFmtId="177" fontId="62" fillId="7" borderId="0" xfId="161" applyNumberFormat="1" applyFont="1" applyFill="1" applyBorder="1" applyAlignment="1">
      <alignment horizontal="center" vertical="center"/>
    </xf>
    <xf numFmtId="0" fontId="62" fillId="7" borderId="0" xfId="161" applyFont="1" applyFill="1" applyBorder="1" applyAlignment="1">
      <alignment horizontal="left" vertical="center"/>
    </xf>
    <xf numFmtId="0" fontId="63" fillId="7" borderId="0" xfId="161" applyFont="1" applyFill="1" applyAlignment="1">
      <alignment horizontal="center"/>
    </xf>
    <xf numFmtId="0" fontId="63" fillId="7" borderId="0" xfId="161" applyFont="1" applyFill="1" applyBorder="1" applyAlignment="1">
      <alignment horizontal="center" vertical="center"/>
    </xf>
    <xf numFmtId="1" fontId="62" fillId="7" borderId="0" xfId="161" applyNumberFormat="1" applyFont="1" applyFill="1" applyBorder="1" applyAlignment="1">
      <alignment horizontal="right" vertical="center"/>
    </xf>
    <xf numFmtId="0" fontId="65" fillId="7" borderId="0" xfId="161" applyFont="1" applyFill="1" applyAlignment="1">
      <alignment vertical="center"/>
    </xf>
    <xf numFmtId="0" fontId="65" fillId="7" borderId="0" xfId="161" applyFont="1" applyFill="1" applyAlignment="1">
      <alignment horizontal="center" vertical="center"/>
    </xf>
    <xf numFmtId="0" fontId="69" fillId="7" borderId="0" xfId="161" applyFont="1" applyFill="1" applyBorder="1" applyAlignment="1">
      <alignment vertical="center"/>
    </xf>
    <xf numFmtId="0" fontId="67" fillId="7" borderId="0" xfId="161" applyFont="1" applyFill="1" applyBorder="1" applyAlignment="1">
      <alignment vertical="center"/>
    </xf>
    <xf numFmtId="0" fontId="66" fillId="7" borderId="0" xfId="161" applyFont="1" applyFill="1" applyBorder="1" applyAlignment="1">
      <alignment vertical="center"/>
    </xf>
    <xf numFmtId="0" fontId="64" fillId="7" borderId="0" xfId="161" applyFont="1" applyFill="1" applyBorder="1" applyAlignment="1">
      <alignment vertical="center"/>
    </xf>
    <xf numFmtId="0" fontId="68" fillId="7" borderId="0" xfId="161" applyFont="1" applyFill="1" applyBorder="1" applyAlignment="1">
      <alignment vertical="center"/>
    </xf>
    <xf numFmtId="1" fontId="62" fillId="7" borderId="0" xfId="161" applyNumberFormat="1" applyFont="1" applyFill="1" applyBorder="1" applyAlignment="1">
      <alignment vertical="center"/>
    </xf>
    <xf numFmtId="0" fontId="63" fillId="7" borderId="0" xfId="161" applyFont="1" applyFill="1" applyBorder="1" applyAlignment="1"/>
    <xf numFmtId="0" fontId="75" fillId="7" borderId="0" xfId="161" applyFont="1" applyFill="1" applyBorder="1" applyAlignment="1">
      <alignment vertical="center"/>
    </xf>
    <xf numFmtId="0" fontId="75" fillId="7" borderId="0" xfId="161" applyFont="1" applyFill="1" applyAlignment="1">
      <alignment vertical="center"/>
    </xf>
    <xf numFmtId="0" fontId="71" fillId="7" borderId="0" xfId="161" applyFont="1" applyFill="1" applyBorder="1" applyAlignment="1">
      <alignment horizontal="left" vertical="center"/>
    </xf>
    <xf numFmtId="0" fontId="75" fillId="7" borderId="0" xfId="161" applyFont="1" applyFill="1" applyBorder="1" applyAlignment="1">
      <alignment horizontal="left" vertical="center"/>
    </xf>
    <xf numFmtId="0" fontId="75" fillId="7" borderId="0" xfId="161" applyFont="1" applyFill="1" applyAlignment="1">
      <alignment horizontal="left" vertical="center"/>
    </xf>
    <xf numFmtId="0" fontId="73" fillId="0" borderId="0" xfId="0" applyFont="1" applyAlignment="1"/>
    <xf numFmtId="0" fontId="70" fillId="7" borderId="0" xfId="0" applyFont="1" applyFill="1"/>
    <xf numFmtId="0" fontId="73" fillId="7" borderId="0" xfId="0" applyFont="1" applyFill="1" applyAlignment="1"/>
    <xf numFmtId="0" fontId="70" fillId="7" borderId="0" xfId="0" applyFont="1" applyFill="1" applyAlignment="1"/>
    <xf numFmtId="0" fontId="70" fillId="0" borderId="0" xfId="0" applyFont="1" applyAlignment="1">
      <alignment vertical="center"/>
    </xf>
    <xf numFmtId="0" fontId="80" fillId="0" borderId="0" xfId="0" applyFont="1"/>
    <xf numFmtId="0" fontId="7" fillId="0" borderId="0" xfId="0" applyFont="1"/>
    <xf numFmtId="0" fontId="75" fillId="7" borderId="0" xfId="161" applyFont="1" applyFill="1" applyBorder="1" applyAlignment="1">
      <alignment horizontal="left" vertical="center"/>
    </xf>
    <xf numFmtId="0" fontId="62" fillId="7" borderId="0" xfId="161" applyFont="1" applyFill="1" applyBorder="1" applyAlignment="1">
      <alignment horizontal="center" vertical="center"/>
    </xf>
    <xf numFmtId="177" fontId="62" fillId="7" borderId="0" xfId="161" applyNumberFormat="1" applyFont="1" applyFill="1" applyBorder="1" applyAlignment="1">
      <alignment horizontal="center" vertical="center"/>
    </xf>
    <xf numFmtId="0" fontId="63" fillId="7" borderId="0" xfId="161" applyFont="1" applyFill="1" applyAlignment="1">
      <alignment horizontal="left" vertical="center"/>
    </xf>
    <xf numFmtId="0" fontId="63" fillId="7" borderId="0" xfId="161" applyFont="1" applyFill="1" applyAlignment="1"/>
    <xf numFmtId="0" fontId="62" fillId="7" borderId="0" xfId="161" applyFont="1" applyFill="1" applyAlignment="1"/>
    <xf numFmtId="0" fontId="82" fillId="7" borderId="0" xfId="161" applyFont="1" applyFill="1" applyBorder="1" applyAlignment="1">
      <alignment vertical="center"/>
    </xf>
    <xf numFmtId="0" fontId="76" fillId="7" borderId="0" xfId="161" applyFont="1" applyFill="1" applyBorder="1" applyAlignment="1">
      <alignment vertical="center"/>
    </xf>
    <xf numFmtId="0" fontId="82" fillId="7" borderId="0" xfId="161" applyFont="1" applyFill="1" applyAlignment="1">
      <alignment vertical="center"/>
    </xf>
    <xf numFmtId="0" fontId="84" fillId="0" borderId="42" xfId="0" applyFont="1" applyBorder="1" applyAlignment="1">
      <alignment horizontal="center"/>
    </xf>
    <xf numFmtId="0" fontId="83" fillId="7" borderId="0" xfId="161" applyFont="1" applyFill="1" applyBorder="1" applyAlignment="1">
      <alignment horizontal="left" vertical="center"/>
    </xf>
    <xf numFmtId="0" fontId="62" fillId="26" borderId="46" xfId="161" applyFont="1" applyFill="1" applyBorder="1" applyAlignment="1">
      <alignment horizontal="center" vertical="center"/>
    </xf>
    <xf numFmtId="0" fontId="62" fillId="26" borderId="43" xfId="161" applyFont="1" applyFill="1" applyBorder="1" applyAlignment="1">
      <alignment horizontal="center" vertical="center"/>
    </xf>
    <xf numFmtId="177" fontId="64" fillId="7" borderId="0" xfId="161" applyNumberFormat="1" applyFont="1" applyFill="1" applyBorder="1" applyAlignment="1">
      <alignment horizontal="center" vertical="center"/>
    </xf>
    <xf numFmtId="181" fontId="62" fillId="7" borderId="0" xfId="317" applyNumberFormat="1" applyFont="1" applyFill="1" applyBorder="1" applyAlignment="1">
      <alignment horizontal="right" vertical="center"/>
    </xf>
    <xf numFmtId="3" fontId="62" fillId="7" borderId="0" xfId="161" applyNumberFormat="1" applyFont="1" applyFill="1" applyBorder="1" applyAlignment="1">
      <alignment horizontal="right" vertical="center"/>
    </xf>
    <xf numFmtId="177" fontId="62" fillId="7" borderId="0" xfId="161" applyNumberFormat="1" applyFont="1" applyFill="1" applyBorder="1" applyAlignment="1">
      <alignment horizontal="left" vertical="center"/>
    </xf>
    <xf numFmtId="0" fontId="70" fillId="0" borderId="0" xfId="0" applyFont="1" applyAlignment="1">
      <alignment vertical="top"/>
    </xf>
    <xf numFmtId="0" fontId="70" fillId="0" borderId="0" xfId="0" applyFont="1" applyBorder="1" applyAlignment="1">
      <alignment vertical="top"/>
    </xf>
    <xf numFmtId="0" fontId="62" fillId="7" borderId="0" xfId="161" applyFont="1" applyFill="1" applyAlignment="1">
      <alignment vertical="top"/>
    </xf>
    <xf numFmtId="0" fontId="73" fillId="0" borderId="0" xfId="0" applyFont="1" applyAlignment="1">
      <alignment vertical="top"/>
    </xf>
    <xf numFmtId="0" fontId="73" fillId="0" borderId="52" xfId="0" applyFont="1" applyBorder="1" applyAlignment="1">
      <alignment vertical="top"/>
    </xf>
    <xf numFmtId="177" fontId="70" fillId="7" borderId="0" xfId="161" applyNumberFormat="1" applyFont="1" applyFill="1" applyBorder="1" applyAlignment="1">
      <alignment vertical="top"/>
    </xf>
    <xf numFmtId="0" fontId="70" fillId="0" borderId="0" xfId="0" applyNumberFormat="1" applyFont="1" applyAlignment="1">
      <alignment vertical="top"/>
    </xf>
    <xf numFmtId="0" fontId="62" fillId="7" borderId="0" xfId="161" applyFont="1" applyFill="1" applyBorder="1" applyAlignment="1">
      <alignment horizontal="center" vertical="center"/>
    </xf>
    <xf numFmtId="177" fontId="62" fillId="7" borderId="0" xfId="161" applyNumberFormat="1" applyFont="1" applyFill="1" applyBorder="1" applyAlignment="1">
      <alignment horizontal="center" vertical="center"/>
    </xf>
    <xf numFmtId="0" fontId="62" fillId="7" borderId="0" xfId="161" applyFont="1" applyFill="1" applyBorder="1" applyAlignment="1">
      <alignment horizontal="left" vertical="center"/>
    </xf>
    <xf numFmtId="0" fontId="74" fillId="0" borderId="43" xfId="0" applyFont="1" applyBorder="1" applyAlignment="1">
      <alignment horizontal="center" vertical="center" wrapText="1"/>
    </xf>
    <xf numFmtId="0" fontId="62" fillId="7" borderId="43" xfId="161" applyFont="1" applyFill="1" applyBorder="1" applyAlignment="1">
      <alignment horizontal="center" vertical="center"/>
    </xf>
    <xf numFmtId="0" fontId="70" fillId="0" borderId="0" xfId="0" applyFont="1" applyAlignment="1">
      <alignment horizontal="center" vertical="top"/>
    </xf>
    <xf numFmtId="0" fontId="74" fillId="0" borderId="0" xfId="0" applyFont="1" applyBorder="1" applyAlignment="1">
      <alignment vertical="center" wrapText="1"/>
    </xf>
    <xf numFmtId="0" fontId="83" fillId="7" borderId="0" xfId="161" applyNumberFormat="1" applyFont="1" applyFill="1" applyBorder="1" applyAlignment="1">
      <alignment vertical="center"/>
    </xf>
    <xf numFmtId="0" fontId="62" fillId="7" borderId="0" xfId="161" applyNumberFormat="1" applyFont="1" applyFill="1"/>
    <xf numFmtId="0" fontId="0" fillId="0" borderId="0" xfId="0" applyNumberFormat="1"/>
    <xf numFmtId="0" fontId="62" fillId="7" borderId="0" xfId="161" applyNumberFormat="1" applyFont="1" applyFill="1" applyAlignment="1">
      <alignment vertical="center"/>
    </xf>
    <xf numFmtId="0" fontId="62" fillId="7" borderId="0" xfId="161" applyNumberFormat="1" applyFont="1" applyFill="1" applyBorder="1" applyAlignment="1">
      <alignment vertical="center"/>
    </xf>
    <xf numFmtId="0" fontId="70" fillId="7" borderId="0" xfId="161" applyFont="1" applyFill="1"/>
    <xf numFmtId="0" fontId="89" fillId="7" borderId="0" xfId="161" applyFont="1" applyFill="1"/>
    <xf numFmtId="0" fontId="89" fillId="7" borderId="0" xfId="161" applyFont="1" applyFill="1" applyAlignment="1">
      <alignment horizontal="center"/>
    </xf>
    <xf numFmtId="177" fontId="70" fillId="7" borderId="0" xfId="161" applyNumberFormat="1" applyFont="1" applyFill="1" applyBorder="1" applyAlignment="1">
      <alignment horizontal="center" vertical="center"/>
    </xf>
    <xf numFmtId="177" fontId="70" fillId="7" borderId="0" xfId="161" applyNumberFormat="1" applyFont="1" applyFill="1" applyBorder="1" applyAlignment="1">
      <alignment vertical="center"/>
    </xf>
    <xf numFmtId="0" fontId="70" fillId="7" borderId="0" xfId="161" applyFont="1" applyFill="1" applyBorder="1" applyAlignment="1">
      <alignment vertical="center"/>
    </xf>
    <xf numFmtId="0" fontId="70" fillId="7" borderId="0" xfId="161" applyNumberFormat="1" applyFont="1" applyFill="1" applyBorder="1" applyAlignment="1">
      <alignment vertical="center"/>
    </xf>
    <xf numFmtId="1" fontId="70" fillId="7" borderId="0" xfId="161" applyNumberFormat="1" applyFont="1" applyFill="1" applyBorder="1" applyAlignment="1">
      <alignment vertical="center"/>
    </xf>
    <xf numFmtId="1" fontId="70" fillId="7" borderId="0" xfId="161" applyNumberFormat="1" applyFont="1" applyFill="1" applyBorder="1" applyAlignment="1">
      <alignment horizontal="right" vertical="center"/>
    </xf>
    <xf numFmtId="0" fontId="91" fillId="7" borderId="0" xfId="161" applyFont="1" applyFill="1" applyBorder="1" applyAlignment="1">
      <alignment vertical="center"/>
    </xf>
    <xf numFmtId="0" fontId="89" fillId="7" borderId="0" xfId="161" applyFont="1" applyFill="1" applyBorder="1" applyAlignment="1">
      <alignment vertical="center"/>
    </xf>
    <xf numFmtId="0" fontId="92" fillId="7" borderId="0" xfId="161" applyFont="1" applyFill="1" applyBorder="1" applyAlignment="1">
      <alignment vertical="center"/>
    </xf>
    <xf numFmtId="0" fontId="78" fillId="7" borderId="0" xfId="161" applyFont="1" applyFill="1" applyBorder="1" applyAlignment="1">
      <alignment vertical="center"/>
    </xf>
    <xf numFmtId="0" fontId="93" fillId="7" borderId="0" xfId="161" applyFont="1" applyFill="1" applyBorder="1" applyAlignment="1">
      <alignment vertical="center"/>
    </xf>
    <xf numFmtId="0" fontId="94" fillId="7" borderId="0" xfId="161" applyFont="1" applyFill="1" applyBorder="1" applyAlignment="1">
      <alignment vertical="center"/>
    </xf>
    <xf numFmtId="0" fontId="89" fillId="7" borderId="0" xfId="161" applyFont="1" applyFill="1" applyBorder="1" applyAlignment="1">
      <alignment horizontal="center" vertical="center"/>
    </xf>
    <xf numFmtId="0" fontId="66" fillId="7" borderId="0" xfId="161" applyFont="1" applyFill="1" applyBorder="1" applyAlignment="1"/>
    <xf numFmtId="0" fontId="74" fillId="0" borderId="0" xfId="0" applyFont="1" applyBorder="1" applyAlignment="1">
      <alignment horizontal="center" vertical="center"/>
    </xf>
    <xf numFmtId="0" fontId="66" fillId="7" borderId="0" xfId="161" applyFont="1" applyFill="1" applyBorder="1" applyAlignment="1">
      <alignment horizontal="center"/>
    </xf>
    <xf numFmtId="0" fontId="62" fillId="0" borderId="43" xfId="0" applyFont="1" applyBorder="1" applyAlignment="1">
      <alignment horizontal="center" vertical="center"/>
    </xf>
    <xf numFmtId="0" fontId="65" fillId="0" borderId="43" xfId="0" applyFont="1" applyBorder="1" applyAlignment="1">
      <alignment horizontal="center" vertical="center"/>
    </xf>
    <xf numFmtId="0" fontId="98" fillId="7" borderId="0" xfId="161" applyFont="1" applyFill="1" applyAlignment="1">
      <alignment vertical="center"/>
    </xf>
    <xf numFmtId="0" fontId="66" fillId="7" borderId="53" xfId="161" applyFont="1" applyFill="1" applyBorder="1" applyAlignment="1">
      <alignment horizontal="center"/>
    </xf>
    <xf numFmtId="0" fontId="66" fillId="7" borderId="54" xfId="161" applyFont="1" applyFill="1" applyBorder="1" applyAlignment="1">
      <alignment horizontal="center"/>
    </xf>
    <xf numFmtId="0" fontId="65" fillId="7" borderId="55" xfId="161" applyFont="1" applyFill="1" applyBorder="1" applyAlignment="1">
      <alignment horizontal="center"/>
    </xf>
    <xf numFmtId="0" fontId="65" fillId="7" borderId="54" xfId="161" applyFont="1" applyFill="1" applyBorder="1" applyAlignment="1">
      <alignment horizontal="center"/>
    </xf>
    <xf numFmtId="0" fontId="98" fillId="7" borderId="0" xfId="161" applyFont="1" applyFill="1" applyBorder="1" applyAlignment="1">
      <alignment horizontal="center" vertical="center"/>
    </xf>
    <xf numFmtId="0" fontId="98" fillId="7" borderId="0" xfId="161" applyFont="1" applyFill="1" applyBorder="1" applyAlignment="1">
      <alignment vertical="center"/>
    </xf>
    <xf numFmtId="0" fontId="70" fillId="7" borderId="0" xfId="161" applyFont="1" applyFill="1" applyBorder="1" applyAlignment="1">
      <alignment vertical="top"/>
    </xf>
    <xf numFmtId="0" fontId="70" fillId="7" borderId="0" xfId="161" applyNumberFormat="1" applyFont="1" applyFill="1" applyBorder="1" applyAlignment="1">
      <alignment vertical="top"/>
    </xf>
    <xf numFmtId="0" fontId="65" fillId="7" borderId="61" xfId="161" applyFont="1" applyFill="1" applyBorder="1" applyAlignment="1">
      <alignment horizontal="center"/>
    </xf>
    <xf numFmtId="0" fontId="65" fillId="7" borderId="63" xfId="161" applyFont="1" applyFill="1" applyBorder="1" applyAlignment="1">
      <alignment horizontal="center"/>
    </xf>
    <xf numFmtId="0" fontId="72" fillId="0" borderId="0" xfId="0" applyFont="1" applyAlignment="1">
      <alignment horizontal="left" vertical="center"/>
    </xf>
    <xf numFmtId="0" fontId="73" fillId="0" borderId="0" xfId="0" applyFont="1" applyAlignment="1">
      <alignment horizontal="left" vertical="center"/>
    </xf>
    <xf numFmtId="0" fontId="70" fillId="0" borderId="0" xfId="0" applyFont="1" applyAlignment="1">
      <alignment horizontal="left" vertical="center"/>
    </xf>
    <xf numFmtId="0" fontId="73" fillId="0" borderId="0" xfId="0" applyFont="1"/>
    <xf numFmtId="180" fontId="83" fillId="0" borderId="0" xfId="0" applyNumberFormat="1" applyFont="1" applyAlignment="1">
      <alignment horizontal="center" vertical="top"/>
    </xf>
    <xf numFmtId="0" fontId="104" fillId="26" borderId="0" xfId="161" applyFont="1" applyFill="1" applyAlignment="1">
      <alignment vertical="center"/>
    </xf>
    <xf numFmtId="0" fontId="104" fillId="7" borderId="0" xfId="161" applyFont="1" applyFill="1" applyAlignment="1">
      <alignment vertical="center"/>
    </xf>
    <xf numFmtId="0" fontId="65" fillId="7" borderId="50" xfId="161" applyFont="1" applyFill="1" applyBorder="1" applyAlignment="1">
      <alignment horizontal="center"/>
    </xf>
    <xf numFmtId="0" fontId="62" fillId="7" borderId="0" xfId="161" applyFont="1" applyFill="1" applyBorder="1" applyAlignment="1">
      <alignment horizontal="center" vertical="center"/>
    </xf>
    <xf numFmtId="0" fontId="62" fillId="7" borderId="0" xfId="161" applyFont="1" applyFill="1" applyBorder="1" applyAlignment="1">
      <alignment horizontal="left" vertical="center"/>
    </xf>
    <xf numFmtId="0" fontId="70" fillId="7" borderId="0" xfId="161" applyFont="1" applyFill="1" applyBorder="1" applyAlignment="1">
      <alignment horizontal="center" vertical="center"/>
    </xf>
    <xf numFmtId="177" fontId="62" fillId="7" borderId="0" xfId="161" applyNumberFormat="1" applyFont="1" applyFill="1" applyBorder="1" applyAlignment="1">
      <alignment horizontal="left" vertical="center"/>
    </xf>
    <xf numFmtId="0" fontId="70" fillId="0" borderId="0" xfId="0" applyFont="1" applyAlignment="1">
      <alignment horizontal="left" vertical="top"/>
    </xf>
    <xf numFmtId="0" fontId="73" fillId="0" borderId="0" xfId="0" applyFont="1" applyAlignment="1">
      <alignment horizontal="left" vertical="top"/>
    </xf>
    <xf numFmtId="0" fontId="70" fillId="0" borderId="0" xfId="0" applyFont="1" applyAlignment="1">
      <alignment horizontal="left" vertical="top" wrapText="1"/>
    </xf>
    <xf numFmtId="0" fontId="70" fillId="0" borderId="0" xfId="0" applyFont="1" applyAlignment="1">
      <alignment horizontal="center" vertical="top"/>
    </xf>
    <xf numFmtId="0" fontId="105" fillId="6" borderId="0" xfId="318" applyFont="1" applyFill="1" applyAlignment="1">
      <alignment vertical="center"/>
    </xf>
    <xf numFmtId="0" fontId="105" fillId="6" borderId="0" xfId="0" applyFont="1" applyFill="1" applyAlignment="1">
      <alignment vertical="center"/>
    </xf>
    <xf numFmtId="0" fontId="105" fillId="6" borderId="0" xfId="5" applyFont="1" applyFill="1" applyAlignment="1">
      <alignment vertical="center"/>
    </xf>
    <xf numFmtId="0" fontId="105" fillId="6" borderId="0" xfId="0" quotePrefix="1" applyFont="1" applyFill="1" applyAlignment="1">
      <alignment horizontal="center" vertical="center"/>
    </xf>
    <xf numFmtId="0" fontId="107" fillId="6" borderId="0" xfId="0" applyFont="1" applyFill="1" applyAlignment="1">
      <alignment vertical="center"/>
    </xf>
    <xf numFmtId="0" fontId="108" fillId="6" borderId="0" xfId="0" applyFont="1" applyFill="1" applyAlignment="1">
      <alignment vertical="center"/>
    </xf>
    <xf numFmtId="0" fontId="105" fillId="7" borderId="0" xfId="318" applyFont="1" applyFill="1" applyAlignment="1">
      <alignment vertical="center"/>
    </xf>
    <xf numFmtId="0" fontId="105" fillId="7" borderId="0" xfId="0" applyFont="1" applyFill="1" applyAlignment="1">
      <alignment vertical="center"/>
    </xf>
    <xf numFmtId="0" fontId="109" fillId="7" borderId="0" xfId="0" applyFont="1" applyFill="1" applyAlignment="1">
      <alignment horizontal="left" vertical="top" wrapText="1"/>
    </xf>
    <xf numFmtId="0" fontId="105" fillId="6" borderId="0" xfId="0" quotePrefix="1" applyFont="1" applyFill="1" applyAlignment="1">
      <alignment vertical="center"/>
    </xf>
    <xf numFmtId="0" fontId="109" fillId="7" borderId="0" xfId="0" applyFont="1" applyFill="1" applyAlignment="1">
      <alignment horizontal="left" vertical="center" wrapText="1"/>
    </xf>
    <xf numFmtId="0" fontId="109" fillId="7" borderId="0" xfId="0" applyFont="1" applyFill="1" applyAlignment="1">
      <alignment horizontal="left" vertical="center"/>
    </xf>
    <xf numFmtId="0" fontId="105" fillId="6" borderId="0" xfId="0" quotePrefix="1" applyFont="1" applyFill="1" applyAlignment="1">
      <alignment vertical="top"/>
    </xf>
    <xf numFmtId="0" fontId="105" fillId="6" borderId="0" xfId="0" applyFont="1" applyFill="1" applyAlignment="1">
      <alignment horizontal="left" vertical="center"/>
    </xf>
    <xf numFmtId="0" fontId="109" fillId="7" borderId="0" xfId="0" applyFont="1" applyFill="1"/>
    <xf numFmtId="0" fontId="107" fillId="7" borderId="0" xfId="0" applyFont="1" applyFill="1"/>
    <xf numFmtId="0" fontId="105" fillId="6" borderId="0" xfId="0" applyFont="1" applyFill="1" applyAlignment="1">
      <alignment vertical="center" wrapText="1"/>
    </xf>
    <xf numFmtId="0" fontId="105" fillId="6" borderId="0" xfId="5" applyFont="1" applyFill="1" applyAlignment="1" applyProtection="1">
      <alignment horizontal="left" vertical="center"/>
      <protection locked="0"/>
    </xf>
    <xf numFmtId="0" fontId="105" fillId="6" borderId="0" xfId="5" applyFont="1" applyFill="1" applyAlignment="1" applyProtection="1">
      <alignment vertical="center" wrapText="1"/>
      <protection locked="0"/>
    </xf>
    <xf numFmtId="0" fontId="105" fillId="6" borderId="0" xfId="5" applyFont="1" applyFill="1" applyAlignment="1" applyProtection="1">
      <alignment vertical="center"/>
      <protection locked="0"/>
    </xf>
    <xf numFmtId="0" fontId="105" fillId="6" borderId="0" xfId="0" applyFont="1" applyFill="1" applyAlignment="1">
      <alignment horizontal="left" vertical="center" wrapText="1"/>
    </xf>
    <xf numFmtId="0" fontId="105" fillId="6" borderId="0" xfId="0" applyFont="1" applyFill="1" applyAlignment="1">
      <alignment horizontal="center" vertical="center"/>
    </xf>
    <xf numFmtId="0" fontId="110" fillId="6" borderId="0" xfId="318" applyFont="1" applyFill="1" applyAlignment="1">
      <alignment vertical="center"/>
    </xf>
    <xf numFmtId="0" fontId="110" fillId="6" borderId="0" xfId="318" applyFont="1" applyFill="1" applyAlignment="1">
      <alignment horizontal="left" vertical="center"/>
    </xf>
    <xf numFmtId="0" fontId="111" fillId="6" borderId="0" xfId="0" applyFont="1" applyFill="1" applyAlignment="1">
      <alignment vertical="center"/>
    </xf>
    <xf numFmtId="0" fontId="112" fillId="6" borderId="0" xfId="318" applyFont="1" applyFill="1" applyAlignment="1">
      <alignment horizontal="left" vertical="center"/>
    </xf>
    <xf numFmtId="0" fontId="105" fillId="6" borderId="0" xfId="318" applyFont="1" applyFill="1" applyAlignment="1">
      <alignment horizontal="left" vertical="center"/>
    </xf>
    <xf numFmtId="0" fontId="112" fillId="6" borderId="0" xfId="0" applyFont="1" applyFill="1" applyAlignment="1">
      <alignment vertical="center"/>
    </xf>
    <xf numFmtId="0" fontId="107" fillId="0" borderId="0" xfId="0" applyFont="1" applyAlignment="1">
      <alignment vertical="center"/>
    </xf>
    <xf numFmtId="0" fontId="70" fillId="7" borderId="56" xfId="161" applyFont="1" applyFill="1" applyBorder="1" applyAlignment="1">
      <alignment vertical="center"/>
    </xf>
    <xf numFmtId="0" fontId="70" fillId="7" borderId="1" xfId="161" applyFont="1" applyFill="1" applyBorder="1" applyAlignment="1">
      <alignment vertical="center"/>
    </xf>
    <xf numFmtId="0" fontId="83" fillId="7" borderId="56" xfId="161" applyFont="1" applyFill="1" applyBorder="1" applyAlignment="1">
      <alignment vertical="center"/>
    </xf>
    <xf numFmtId="0" fontId="83" fillId="7" borderId="1" xfId="161" applyFont="1" applyFill="1" applyBorder="1" applyAlignment="1">
      <alignment vertical="center"/>
    </xf>
    <xf numFmtId="0" fontId="71" fillId="7" borderId="0" xfId="161" applyFont="1" applyFill="1" applyAlignment="1">
      <alignment vertical="center"/>
    </xf>
    <xf numFmtId="0" fontId="75" fillId="7" borderId="42" xfId="161" applyFont="1" applyFill="1" applyBorder="1" applyAlignment="1">
      <alignment horizontal="center" vertical="center"/>
    </xf>
    <xf numFmtId="0" fontId="83" fillId="7" borderId="45" xfId="161" applyFont="1" applyFill="1" applyBorder="1" applyAlignment="1">
      <alignment horizontal="center" vertical="center"/>
    </xf>
    <xf numFmtId="1" fontId="62" fillId="7" borderId="44" xfId="161" applyNumberFormat="1" applyFont="1" applyFill="1" applyBorder="1" applyAlignment="1">
      <alignment horizontal="right" vertical="center"/>
    </xf>
    <xf numFmtId="1" fontId="62" fillId="7" borderId="41" xfId="161" applyNumberFormat="1" applyFont="1" applyFill="1" applyBorder="1" applyAlignment="1">
      <alignment horizontal="right" vertical="center"/>
    </xf>
    <xf numFmtId="177" fontId="62" fillId="7" borderId="43" xfId="161" applyNumberFormat="1" applyFont="1" applyFill="1" applyBorder="1" applyAlignment="1">
      <alignment vertical="center"/>
    </xf>
    <xf numFmtId="0" fontId="65" fillId="7" borderId="0" xfId="161" applyFont="1" applyFill="1" applyBorder="1" applyAlignment="1">
      <alignment vertical="center"/>
    </xf>
    <xf numFmtId="178" fontId="62" fillId="7" borderId="43" xfId="161" applyNumberFormat="1" applyFont="1" applyFill="1" applyBorder="1" applyAlignment="1">
      <alignment vertical="center"/>
    </xf>
    <xf numFmtId="1" fontId="62" fillId="7" borderId="43" xfId="161" applyNumberFormat="1" applyFont="1" applyFill="1" applyBorder="1" applyAlignment="1">
      <alignment vertical="center"/>
    </xf>
    <xf numFmtId="0" fontId="83" fillId="7" borderId="0" xfId="161" applyNumberFormat="1" applyFont="1" applyFill="1" applyBorder="1" applyAlignment="1">
      <alignment horizontal="center" vertical="center"/>
    </xf>
    <xf numFmtId="0" fontId="70" fillId="7" borderId="0" xfId="161" applyFont="1" applyFill="1" applyBorder="1"/>
    <xf numFmtId="0" fontId="62" fillId="7" borderId="0" xfId="161" applyNumberFormat="1" applyFont="1" applyFill="1" applyBorder="1"/>
    <xf numFmtId="0" fontId="0" fillId="0" borderId="0" xfId="0" applyBorder="1"/>
    <xf numFmtId="0" fontId="0" fillId="0" borderId="0" xfId="0" applyNumberFormat="1" applyBorder="1"/>
    <xf numFmtId="0" fontId="70" fillId="0" borderId="0" xfId="0" applyFont="1" applyBorder="1" applyAlignment="1">
      <alignment vertical="center" wrapText="1"/>
    </xf>
    <xf numFmtId="182" fontId="83" fillId="7" borderId="0" xfId="161" applyNumberFormat="1" applyFont="1" applyFill="1" applyBorder="1" applyAlignment="1">
      <alignment vertical="center"/>
    </xf>
    <xf numFmtId="177" fontId="70" fillId="7" borderId="0" xfId="161" applyNumberFormat="1" applyFont="1" applyFill="1" applyBorder="1" applyAlignment="1">
      <alignment horizontal="left" vertical="top" wrapText="1"/>
    </xf>
    <xf numFmtId="0" fontId="115" fillId="7" borderId="0" xfId="161" applyNumberFormat="1" applyFont="1" applyFill="1" applyBorder="1" applyAlignment="1">
      <alignment vertical="center"/>
    </xf>
    <xf numFmtId="0" fontId="72" fillId="0" borderId="0" xfId="0" applyFont="1" applyAlignment="1">
      <alignment horizontal="left" vertical="center" indent="9"/>
    </xf>
    <xf numFmtId="0" fontId="70" fillId="0" borderId="0" xfId="0" applyFont="1" applyAlignment="1">
      <alignment horizontal="left" vertical="center" indent="9"/>
    </xf>
    <xf numFmtId="0" fontId="73" fillId="0" borderId="0" xfId="0" applyFont="1" applyAlignment="1">
      <alignment horizontal="left" vertical="center" indent="9"/>
    </xf>
    <xf numFmtId="0" fontId="73" fillId="0" borderId="0" xfId="0" applyFont="1" applyBorder="1" applyAlignment="1">
      <alignment horizontal="left" vertical="top" wrapText="1"/>
    </xf>
    <xf numFmtId="0" fontId="105" fillId="6" borderId="0" xfId="0" applyFont="1" applyFill="1" applyAlignment="1">
      <alignment horizontal="left" vertical="top" wrapText="1"/>
    </xf>
    <xf numFmtId="0" fontId="109" fillId="7" borderId="0" xfId="0" applyFont="1" applyFill="1" applyAlignment="1">
      <alignment horizontal="left" vertical="center" wrapText="1"/>
    </xf>
    <xf numFmtId="0" fontId="105" fillId="6" borderId="0" xfId="318" applyFont="1" applyFill="1" applyAlignment="1">
      <alignment horizontal="left" vertical="center" wrapText="1"/>
    </xf>
    <xf numFmtId="0" fontId="105" fillId="6" borderId="0" xfId="0" applyFont="1" applyFill="1" applyAlignment="1">
      <alignment horizontal="left" vertical="center"/>
    </xf>
    <xf numFmtId="177" fontId="62" fillId="7" borderId="44" xfId="161" applyNumberFormat="1" applyFont="1" applyFill="1" applyBorder="1" applyAlignment="1">
      <alignment horizontal="center" vertical="center"/>
    </xf>
    <xf numFmtId="177" fontId="62" fillId="7" borderId="41" xfId="161" applyNumberFormat="1" applyFont="1" applyFill="1" applyBorder="1" applyAlignment="1">
      <alignment horizontal="center" vertical="center"/>
    </xf>
    <xf numFmtId="177" fontId="62" fillId="7" borderId="45" xfId="161" applyNumberFormat="1" applyFont="1" applyFill="1" applyBorder="1" applyAlignment="1">
      <alignment horizontal="center" vertical="center"/>
    </xf>
    <xf numFmtId="177" fontId="62" fillId="7" borderId="40" xfId="161" applyNumberFormat="1" applyFont="1" applyFill="1" applyBorder="1" applyAlignment="1">
      <alignment horizontal="center" vertical="center"/>
    </xf>
    <xf numFmtId="177" fontId="62" fillId="7" borderId="65" xfId="161" applyNumberFormat="1" applyFont="1" applyFill="1" applyBorder="1" applyAlignment="1">
      <alignment horizontal="center" vertical="center"/>
    </xf>
    <xf numFmtId="177" fontId="97" fillId="7" borderId="43" xfId="161" applyNumberFormat="1" applyFont="1" applyFill="1" applyBorder="1" applyAlignment="1">
      <alignment horizontal="center" vertical="center"/>
    </xf>
    <xf numFmtId="49" fontId="62" fillId="7" borderId="43" xfId="161" applyNumberFormat="1" applyFont="1" applyFill="1" applyBorder="1" applyAlignment="1">
      <alignment horizontal="center" vertical="center"/>
    </xf>
    <xf numFmtId="177" fontId="62" fillId="7" borderId="44" xfId="161" applyNumberFormat="1" applyFont="1" applyFill="1" applyBorder="1" applyAlignment="1">
      <alignment horizontal="center" vertical="center" shrinkToFit="1"/>
    </xf>
    <xf numFmtId="177" fontId="62" fillId="7" borderId="41" xfId="161" applyNumberFormat="1" applyFont="1" applyFill="1" applyBorder="1" applyAlignment="1">
      <alignment horizontal="center" vertical="center" shrinkToFit="1"/>
    </xf>
    <xf numFmtId="177" fontId="62" fillId="7" borderId="45" xfId="161" applyNumberFormat="1" applyFont="1" applyFill="1" applyBorder="1" applyAlignment="1">
      <alignment horizontal="center" vertical="center" shrinkToFit="1"/>
    </xf>
    <xf numFmtId="0" fontId="83" fillId="7" borderId="0" xfId="161" applyFont="1" applyFill="1" applyBorder="1" applyAlignment="1">
      <alignment horizontal="center" vertical="center"/>
    </xf>
    <xf numFmtId="0" fontId="65" fillId="7" borderId="0" xfId="161" applyFont="1" applyFill="1" applyBorder="1" applyAlignment="1">
      <alignment horizontal="right" vertical="center"/>
    </xf>
    <xf numFmtId="1" fontId="62" fillId="7" borderId="44" xfId="161" applyNumberFormat="1" applyFont="1" applyFill="1" applyBorder="1" applyAlignment="1">
      <alignment horizontal="right" vertical="center"/>
    </xf>
    <xf numFmtId="1" fontId="62" fillId="7" borderId="41" xfId="161" applyNumberFormat="1" applyFont="1" applyFill="1" applyBorder="1" applyAlignment="1">
      <alignment horizontal="right" vertical="center"/>
    </xf>
    <xf numFmtId="177" fontId="62" fillId="7" borderId="43" xfId="161" applyNumberFormat="1" applyFont="1" applyFill="1" applyBorder="1" applyAlignment="1">
      <alignment horizontal="center" vertical="center"/>
    </xf>
    <xf numFmtId="1" fontId="62" fillId="7" borderId="47" xfId="161" applyNumberFormat="1" applyFont="1" applyFill="1" applyBorder="1" applyAlignment="1">
      <alignment horizontal="right" vertical="center"/>
    </xf>
    <xf numFmtId="1" fontId="62" fillId="7" borderId="40" xfId="161" applyNumberFormat="1" applyFont="1" applyFill="1" applyBorder="1" applyAlignment="1">
      <alignment horizontal="right" vertical="center"/>
    </xf>
    <xf numFmtId="177" fontId="62" fillId="7" borderId="47" xfId="161" applyNumberFormat="1" applyFont="1" applyFill="1" applyBorder="1" applyAlignment="1">
      <alignment horizontal="center" vertical="center"/>
    </xf>
    <xf numFmtId="0" fontId="62" fillId="7" borderId="44" xfId="161" applyFont="1" applyFill="1" applyBorder="1" applyAlignment="1">
      <alignment horizontal="center" vertical="center"/>
    </xf>
    <xf numFmtId="0" fontId="62" fillId="7" borderId="41" xfId="161" applyFont="1" applyFill="1" applyBorder="1" applyAlignment="1">
      <alignment horizontal="center" vertical="center"/>
    </xf>
    <xf numFmtId="0" fontId="62" fillId="7" borderId="45" xfId="161" applyFont="1" applyFill="1" applyBorder="1" applyAlignment="1">
      <alignment horizontal="center" vertical="center"/>
    </xf>
    <xf numFmtId="0" fontId="75" fillId="7" borderId="64" xfId="161" applyFont="1" applyFill="1" applyBorder="1" applyAlignment="1">
      <alignment horizontal="center" vertical="center"/>
    </xf>
    <xf numFmtId="0" fontId="75" fillId="7" borderId="0" xfId="161" applyFont="1" applyFill="1" applyAlignment="1">
      <alignment horizontal="center" vertical="center"/>
    </xf>
    <xf numFmtId="0" fontId="114" fillId="7" borderId="64" xfId="161" applyFont="1" applyFill="1" applyBorder="1" applyAlignment="1">
      <alignment horizontal="center" vertical="center"/>
    </xf>
    <xf numFmtId="0" fontId="114" fillId="7" borderId="0" xfId="161" applyFont="1" applyFill="1" applyAlignment="1">
      <alignment horizontal="center" vertical="center"/>
    </xf>
    <xf numFmtId="0" fontId="64" fillId="26" borderId="44" xfId="161" applyFont="1" applyFill="1" applyBorder="1" applyAlignment="1">
      <alignment horizontal="center" vertical="center"/>
    </xf>
    <xf numFmtId="0" fontId="64" fillId="26" borderId="45" xfId="161" applyFont="1" applyFill="1" applyBorder="1" applyAlignment="1">
      <alignment horizontal="center" vertical="center"/>
    </xf>
    <xf numFmtId="0" fontId="71" fillId="7" borderId="0" xfId="161" applyFont="1" applyFill="1" applyAlignment="1">
      <alignment horizontal="center"/>
    </xf>
    <xf numFmtId="0" fontId="71" fillId="7" borderId="0" xfId="161" applyFont="1" applyFill="1" applyAlignment="1">
      <alignment horizontal="left" vertical="center"/>
    </xf>
    <xf numFmtId="0" fontId="83" fillId="7" borderId="1" xfId="161" applyFont="1" applyFill="1" applyBorder="1" applyAlignment="1">
      <alignment horizontal="left" vertical="center"/>
    </xf>
    <xf numFmtId="0" fontId="70" fillId="7" borderId="1" xfId="161" applyFont="1" applyFill="1" applyBorder="1" applyAlignment="1">
      <alignment horizontal="center" vertical="center"/>
    </xf>
    <xf numFmtId="49" fontId="83" fillId="7" borderId="1" xfId="161" applyNumberFormat="1" applyFont="1" applyFill="1" applyBorder="1" applyAlignment="1">
      <alignment horizontal="center" vertical="center"/>
    </xf>
    <xf numFmtId="0" fontId="62" fillId="7" borderId="0" xfId="161" applyFont="1" applyFill="1" applyAlignment="1">
      <alignment horizontal="center" vertical="center"/>
    </xf>
    <xf numFmtId="180" fontId="83" fillId="7" borderId="1" xfId="161" applyNumberFormat="1" applyFont="1" applyFill="1" applyBorder="1" applyAlignment="1">
      <alignment horizontal="left" vertical="center"/>
    </xf>
    <xf numFmtId="0" fontId="71" fillId="7" borderId="0" xfId="161" applyFont="1" applyFill="1" applyBorder="1" applyAlignment="1">
      <alignment horizontal="left" vertical="center"/>
    </xf>
    <xf numFmtId="0" fontId="83" fillId="7" borderId="41" xfId="161" applyFont="1" applyFill="1" applyBorder="1" applyAlignment="1">
      <alignment horizontal="left" vertical="center"/>
    </xf>
    <xf numFmtId="0" fontId="62" fillId="7" borderId="0" xfId="161" applyFont="1" applyFill="1" applyBorder="1" applyAlignment="1">
      <alignment horizontal="left" vertical="center"/>
    </xf>
    <xf numFmtId="0" fontId="83" fillId="7" borderId="48" xfId="161" applyFont="1" applyFill="1" applyBorder="1" applyAlignment="1">
      <alignment horizontal="center" vertical="center"/>
    </xf>
    <xf numFmtId="0" fontId="83" fillId="7" borderId="49" xfId="161" applyFont="1" applyFill="1" applyBorder="1" applyAlignment="1">
      <alignment horizontal="center" vertical="center"/>
    </xf>
    <xf numFmtId="0" fontId="83" fillId="7" borderId="50" xfId="161" applyFont="1" applyFill="1" applyBorder="1" applyAlignment="1">
      <alignment horizontal="center" vertical="center"/>
    </xf>
    <xf numFmtId="0" fontId="62" fillId="7" borderId="0" xfId="161" applyFont="1" applyFill="1" applyBorder="1" applyAlignment="1">
      <alignment horizontal="left" vertical="top" wrapText="1"/>
    </xf>
    <xf numFmtId="0" fontId="75" fillId="7" borderId="1" xfId="161" applyFont="1" applyFill="1" applyBorder="1" applyAlignment="1">
      <alignment horizontal="center" vertical="center"/>
    </xf>
    <xf numFmtId="0" fontId="65" fillId="7" borderId="0" xfId="161" applyFont="1" applyFill="1" applyAlignment="1">
      <alignment horizontal="center" vertical="center"/>
    </xf>
    <xf numFmtId="0" fontId="65" fillId="7" borderId="0" xfId="161" applyFont="1" applyFill="1" applyBorder="1" applyAlignment="1">
      <alignment horizontal="center" vertical="center"/>
    </xf>
    <xf numFmtId="0" fontId="62" fillId="7" borderId="0" xfId="161" applyFont="1" applyFill="1" applyBorder="1" applyAlignment="1">
      <alignment horizontal="center" vertical="center"/>
    </xf>
    <xf numFmtId="0" fontId="75" fillId="7" borderId="0" xfId="161" applyFont="1" applyFill="1" applyBorder="1" applyAlignment="1">
      <alignment horizontal="center" vertical="center"/>
    </xf>
    <xf numFmtId="0" fontId="75" fillId="7" borderId="0" xfId="161" applyFont="1" applyFill="1" applyBorder="1" applyAlignment="1">
      <alignment horizontal="left" vertical="center"/>
    </xf>
    <xf numFmtId="177" fontId="62" fillId="7" borderId="44" xfId="161" applyNumberFormat="1" applyFont="1" applyFill="1" applyBorder="1" applyAlignment="1">
      <alignment horizontal="left" vertical="center"/>
    </xf>
    <xf numFmtId="177" fontId="62" fillId="7" borderId="41" xfId="161" applyNumberFormat="1" applyFont="1" applyFill="1" applyBorder="1" applyAlignment="1">
      <alignment horizontal="left" vertical="center"/>
    </xf>
    <xf numFmtId="177" fontId="62" fillId="7" borderId="45" xfId="161" applyNumberFormat="1" applyFont="1" applyFill="1" applyBorder="1" applyAlignment="1">
      <alignment horizontal="left" vertical="center"/>
    </xf>
    <xf numFmtId="0" fontId="70" fillId="7" borderId="48" xfId="161" applyFont="1" applyFill="1" applyBorder="1" applyAlignment="1">
      <alignment horizontal="center" vertical="center"/>
    </xf>
    <xf numFmtId="0" fontId="70" fillId="7" borderId="49" xfId="161" applyFont="1" applyFill="1" applyBorder="1" applyAlignment="1">
      <alignment horizontal="center" vertical="center"/>
    </xf>
    <xf numFmtId="0" fontId="70" fillId="7" borderId="50" xfId="161" applyFont="1" applyFill="1" applyBorder="1" applyAlignment="1">
      <alignment horizontal="center" vertical="center"/>
    </xf>
    <xf numFmtId="0" fontId="83" fillId="7" borderId="1" xfId="161" applyFont="1" applyFill="1" applyBorder="1" applyAlignment="1">
      <alignment horizontal="center" vertical="center"/>
    </xf>
    <xf numFmtId="0" fontId="70" fillId="7" borderId="0" xfId="161" applyFont="1" applyFill="1" applyAlignment="1">
      <alignment horizontal="center" vertical="center"/>
    </xf>
    <xf numFmtId="0" fontId="83" fillId="7" borderId="51" xfId="161" applyFont="1" applyFill="1" applyBorder="1" applyAlignment="1">
      <alignment horizontal="center" vertical="center"/>
    </xf>
    <xf numFmtId="0" fontId="65" fillId="7" borderId="0" xfId="161" applyFont="1" applyFill="1" applyAlignment="1">
      <alignment horizontal="center"/>
    </xf>
    <xf numFmtId="0" fontId="62" fillId="7" borderId="0" xfId="161" applyFont="1" applyFill="1" applyAlignment="1">
      <alignment horizontal="center"/>
    </xf>
    <xf numFmtId="0" fontId="0" fillId="0" borderId="0" xfId="0" applyAlignment="1">
      <alignment horizontal="center" wrapText="1"/>
    </xf>
    <xf numFmtId="0" fontId="62" fillId="26" borderId="44" xfId="161" applyFont="1" applyFill="1" applyBorder="1" applyAlignment="1">
      <alignment horizontal="center" vertical="center"/>
    </xf>
    <xf numFmtId="0" fontId="62" fillId="26" borderId="45" xfId="161" applyFont="1" applyFill="1" applyBorder="1" applyAlignment="1">
      <alignment horizontal="center" vertical="center"/>
    </xf>
    <xf numFmtId="0" fontId="67" fillId="7" borderId="0" xfId="161" applyFont="1" applyFill="1" applyAlignment="1">
      <alignment horizontal="center" vertical="center"/>
    </xf>
    <xf numFmtId="177" fontId="70" fillId="7" borderId="0" xfId="161" applyNumberFormat="1" applyFont="1" applyFill="1" applyBorder="1" applyAlignment="1">
      <alignment horizontal="left" vertical="top" wrapText="1"/>
    </xf>
    <xf numFmtId="0" fontId="73" fillId="0" borderId="0" xfId="0" applyFont="1" applyAlignment="1">
      <alignment horizontal="left" vertical="top"/>
    </xf>
    <xf numFmtId="177" fontId="72" fillId="7" borderId="0" xfId="161" applyNumberFormat="1" applyFont="1" applyFill="1" applyBorder="1" applyAlignment="1">
      <alignment horizontal="left" vertical="top" wrapText="1"/>
    </xf>
    <xf numFmtId="0" fontId="73" fillId="0" borderId="0" xfId="0" applyFont="1" applyBorder="1" applyAlignment="1">
      <alignment horizontal="left" vertical="top" wrapText="1"/>
    </xf>
    <xf numFmtId="0" fontId="73" fillId="0" borderId="0" xfId="0" applyFont="1" applyBorder="1" applyAlignment="1">
      <alignment horizontal="center" vertical="center" wrapText="1"/>
    </xf>
    <xf numFmtId="177" fontId="70" fillId="7" borderId="0" xfId="161" applyNumberFormat="1" applyFont="1" applyFill="1" applyBorder="1" applyAlignment="1">
      <alignment horizontal="left" vertical="center" wrapText="1"/>
    </xf>
    <xf numFmtId="0" fontId="70" fillId="0" borderId="43" xfId="0" applyFont="1" applyBorder="1" applyAlignment="1">
      <alignment horizontal="left" vertical="center"/>
    </xf>
    <xf numFmtId="0" fontId="70" fillId="0" borderId="43" xfId="0" applyFont="1" applyBorder="1" applyAlignment="1">
      <alignment horizontal="left" vertical="center" wrapText="1"/>
    </xf>
    <xf numFmtId="0" fontId="72" fillId="0" borderId="0" xfId="0" applyFont="1" applyBorder="1" applyAlignment="1">
      <alignment horizontal="left" vertical="center" wrapText="1"/>
    </xf>
    <xf numFmtId="0" fontId="90" fillId="7" borderId="0" xfId="161" applyFont="1" applyFill="1" applyBorder="1" applyAlignment="1">
      <alignment horizontal="center" vertical="center"/>
    </xf>
    <xf numFmtId="0" fontId="70" fillId="7" borderId="0" xfId="161" applyFont="1" applyFill="1" applyBorder="1" applyAlignment="1">
      <alignment horizontal="center" vertical="center"/>
    </xf>
    <xf numFmtId="0" fontId="74" fillId="0" borderId="43" xfId="0" applyFont="1" applyBorder="1" applyAlignment="1">
      <alignment horizontal="center" vertical="center" wrapText="1"/>
    </xf>
    <xf numFmtId="0" fontId="74" fillId="0" borderId="43" xfId="0" applyFont="1" applyBorder="1" applyAlignment="1">
      <alignment horizontal="left" vertical="center" wrapText="1"/>
    </xf>
    <xf numFmtId="0" fontId="62" fillId="7" borderId="43" xfId="161" applyFont="1" applyFill="1" applyBorder="1" applyAlignment="1">
      <alignment horizontal="center" vertical="center"/>
    </xf>
    <xf numFmtId="177" fontId="62" fillId="7" borderId="0" xfId="161" applyNumberFormat="1" applyFont="1" applyFill="1" applyBorder="1" applyAlignment="1">
      <alignment horizontal="left" vertical="center"/>
    </xf>
    <xf numFmtId="0" fontId="65" fillId="7" borderId="57" xfId="161" applyFont="1" applyFill="1" applyBorder="1" applyAlignment="1">
      <alignment horizontal="center"/>
    </xf>
    <xf numFmtId="0" fontId="65" fillId="7" borderId="58" xfId="161" applyFont="1" applyFill="1" applyBorder="1" applyAlignment="1">
      <alignment horizontal="center"/>
    </xf>
    <xf numFmtId="0" fontId="65" fillId="7" borderId="59" xfId="161" applyFont="1" applyFill="1" applyBorder="1" applyAlignment="1">
      <alignment horizontal="center"/>
    </xf>
    <xf numFmtId="0" fontId="65" fillId="7" borderId="60" xfId="161" applyFont="1" applyFill="1" applyBorder="1" applyAlignment="1">
      <alignment horizontal="center"/>
    </xf>
    <xf numFmtId="0" fontId="65" fillId="7" borderId="48" xfId="161" applyFont="1" applyFill="1" applyBorder="1" applyAlignment="1">
      <alignment horizontal="center"/>
    </xf>
    <xf numFmtId="0" fontId="65" fillId="7" borderId="49" xfId="161" applyFont="1" applyFill="1" applyBorder="1" applyAlignment="1">
      <alignment horizontal="center"/>
    </xf>
    <xf numFmtId="0" fontId="65" fillId="7" borderId="50" xfId="161" applyFont="1" applyFill="1" applyBorder="1" applyAlignment="1">
      <alignment horizontal="center"/>
    </xf>
    <xf numFmtId="0" fontId="99" fillId="7" borderId="61" xfId="161" applyFont="1" applyFill="1" applyBorder="1" applyAlignment="1">
      <alignment horizontal="center" wrapText="1"/>
    </xf>
    <xf numFmtId="0" fontId="100" fillId="7" borderId="62" xfId="161" applyFont="1" applyFill="1" applyBorder="1" applyAlignment="1">
      <alignment horizontal="center" wrapText="1"/>
    </xf>
    <xf numFmtId="0" fontId="72" fillId="0" borderId="0" xfId="0" applyFont="1" applyBorder="1" applyAlignment="1">
      <alignment horizontal="left" vertical="top" wrapText="1"/>
    </xf>
    <xf numFmtId="0" fontId="72" fillId="0" borderId="52" xfId="0" applyFont="1" applyBorder="1" applyAlignment="1">
      <alignment horizontal="left" vertical="top" wrapText="1"/>
    </xf>
    <xf numFmtId="0" fontId="70" fillId="0" borderId="0" xfId="0" applyFont="1" applyAlignment="1">
      <alignment horizontal="left" vertical="top" wrapText="1"/>
    </xf>
    <xf numFmtId="0" fontId="73" fillId="0" borderId="0" xfId="0" applyFont="1" applyAlignment="1">
      <alignment horizontal="left" vertical="top" wrapText="1"/>
    </xf>
    <xf numFmtId="0" fontId="70" fillId="0" borderId="0" xfId="0" applyFont="1" applyAlignment="1">
      <alignment horizontal="right" vertical="top"/>
    </xf>
    <xf numFmtId="0" fontId="70" fillId="0" borderId="0" xfId="0" applyFont="1" applyAlignment="1">
      <alignment horizontal="left" vertical="top"/>
    </xf>
    <xf numFmtId="0" fontId="74" fillId="0" borderId="44" xfId="0" applyFont="1" applyBorder="1" applyAlignment="1">
      <alignment horizontal="left" vertical="top" wrapText="1"/>
    </xf>
    <xf numFmtId="0" fontId="74" fillId="0" borderId="41" xfId="0" applyFont="1" applyBorder="1" applyAlignment="1">
      <alignment horizontal="left" vertical="top" wrapText="1"/>
    </xf>
    <xf numFmtId="0" fontId="74" fillId="0" borderId="45" xfId="0" applyFont="1" applyBorder="1" applyAlignment="1">
      <alignment horizontal="left" vertical="top" wrapText="1"/>
    </xf>
    <xf numFmtId="0" fontId="74" fillId="0" borderId="44" xfId="0" applyFont="1" applyBorder="1" applyAlignment="1">
      <alignment horizontal="center" vertical="top" wrapText="1"/>
    </xf>
    <xf numFmtId="0" fontId="74" fillId="0" borderId="41" xfId="0" applyFont="1" applyBorder="1" applyAlignment="1">
      <alignment horizontal="center" vertical="top" wrapText="1"/>
    </xf>
    <xf numFmtId="0" fontId="74" fillId="0" borderId="45" xfId="0" applyFont="1" applyBorder="1" applyAlignment="1">
      <alignment horizontal="center" vertical="top" wrapText="1"/>
    </xf>
    <xf numFmtId="0" fontId="62" fillId="7" borderId="44" xfId="161" applyFont="1" applyFill="1" applyBorder="1" applyAlignment="1">
      <alignment horizontal="center" vertical="top"/>
    </xf>
    <xf numFmtId="0" fontId="62" fillId="7" borderId="41" xfId="161" applyFont="1" applyFill="1" applyBorder="1" applyAlignment="1">
      <alignment horizontal="center" vertical="top"/>
    </xf>
    <xf numFmtId="0" fontId="62" fillId="7" borderId="45" xfId="161" applyFont="1" applyFill="1" applyBorder="1" applyAlignment="1">
      <alignment horizontal="center" vertical="top"/>
    </xf>
    <xf numFmtId="0" fontId="102" fillId="0" borderId="0" xfId="0" applyFont="1" applyAlignment="1">
      <alignment horizontal="center" vertical="top"/>
    </xf>
    <xf numFmtId="177" fontId="62" fillId="7" borderId="0" xfId="161" applyNumberFormat="1" applyFont="1" applyFill="1" applyBorder="1" applyAlignment="1">
      <alignment horizontal="center" vertical="top" shrinkToFit="1"/>
    </xf>
    <xf numFmtId="0" fontId="103" fillId="0" borderId="0" xfId="0" applyFont="1" applyAlignment="1">
      <alignment horizontal="left" vertical="top"/>
    </xf>
    <xf numFmtId="0" fontId="70" fillId="0" borderId="0" xfId="0" applyFont="1" applyBorder="1" applyAlignment="1">
      <alignment horizontal="left" vertical="top" wrapText="1" shrinkToFit="1"/>
    </xf>
    <xf numFmtId="0" fontId="72" fillId="0" borderId="0" xfId="0" applyFont="1" applyAlignment="1">
      <alignment horizontal="left" vertical="top" wrapText="1"/>
    </xf>
    <xf numFmtId="0" fontId="70" fillId="0" borderId="0" xfId="0" applyFont="1" applyAlignment="1">
      <alignment horizontal="center" vertical="top"/>
    </xf>
    <xf numFmtId="0" fontId="8" fillId="6" borderId="19" xfId="6" applyNumberFormat="1" applyFont="1" applyFill="1" applyBorder="1" applyAlignment="1">
      <alignment horizontal="center" vertical="center"/>
    </xf>
    <xf numFmtId="0" fontId="8" fillId="6" borderId="9" xfId="6" applyNumberFormat="1" applyFont="1" applyFill="1" applyBorder="1" applyAlignment="1">
      <alignment horizontal="center" vertical="center"/>
    </xf>
    <xf numFmtId="0" fontId="8" fillId="6" borderId="10" xfId="6" applyNumberFormat="1" applyFont="1" applyFill="1" applyBorder="1" applyAlignment="1">
      <alignment horizontal="center" vertical="center"/>
    </xf>
    <xf numFmtId="0" fontId="8" fillId="6" borderId="16" xfId="6" applyNumberFormat="1" applyFont="1" applyFill="1" applyBorder="1" applyAlignment="1">
      <alignment horizontal="center" vertical="center"/>
    </xf>
    <xf numFmtId="0" fontId="8" fillId="6" borderId="7" xfId="6" applyNumberFormat="1" applyFont="1" applyFill="1" applyBorder="1" applyAlignment="1">
      <alignment horizontal="center" vertical="center"/>
    </xf>
    <xf numFmtId="0" fontId="8" fillId="6" borderId="20" xfId="6" applyNumberFormat="1" applyFont="1" applyFill="1" applyBorder="1" applyAlignment="1">
      <alignment horizontal="center" vertical="center"/>
    </xf>
    <xf numFmtId="0" fontId="8" fillId="6" borderId="21" xfId="6" applyNumberFormat="1" applyFont="1" applyFill="1" applyBorder="1" applyAlignment="1">
      <alignment horizontal="center" vertical="center"/>
    </xf>
    <xf numFmtId="0" fontId="8" fillId="6" borderId="6" xfId="6" applyNumberFormat="1" applyFont="1" applyFill="1" applyBorder="1" applyAlignment="1">
      <alignment horizontal="center" vertical="center"/>
    </xf>
    <xf numFmtId="0" fontId="8" fillId="6" borderId="8" xfId="6" applyNumberFormat="1" applyFont="1" applyFill="1" applyBorder="1" applyAlignment="1">
      <alignment horizontal="center" vertical="center"/>
    </xf>
    <xf numFmtId="0" fontId="8" fillId="6" borderId="11" xfId="6" applyNumberFormat="1" applyFont="1" applyFill="1" applyBorder="1" applyAlignment="1">
      <alignment horizontal="center" vertical="center"/>
    </xf>
    <xf numFmtId="0" fontId="8" fillId="6" borderId="0" xfId="6" applyNumberFormat="1" applyFont="1" applyFill="1" applyBorder="1" applyAlignment="1">
      <alignment horizontal="center" vertical="center"/>
    </xf>
    <xf numFmtId="0" fontId="8" fillId="6" borderId="17" xfId="6" applyNumberFormat="1" applyFont="1" applyFill="1" applyBorder="1" applyAlignment="1">
      <alignment horizontal="center" vertical="center"/>
    </xf>
    <xf numFmtId="0" fontId="8" fillId="6" borderId="5" xfId="6" applyNumberFormat="1" applyFont="1" applyFill="1" applyBorder="1" applyAlignment="1">
      <alignment horizontal="center" vertical="center"/>
    </xf>
    <xf numFmtId="0" fontId="8" fillId="6" borderId="18" xfId="6" applyNumberFormat="1" applyFont="1" applyFill="1" applyBorder="1" applyAlignment="1">
      <alignment horizontal="center" vertical="center"/>
    </xf>
    <xf numFmtId="0" fontId="8" fillId="6" borderId="22" xfId="6" applyNumberFormat="1" applyFont="1" applyFill="1" applyBorder="1" applyAlignment="1">
      <alignment horizontal="left" vertical="center"/>
    </xf>
    <xf numFmtId="0" fontId="8" fillId="6" borderId="2" xfId="6" applyNumberFormat="1" applyFont="1" applyFill="1" applyBorder="1" applyAlignment="1">
      <alignment horizontal="left" vertical="center"/>
    </xf>
    <xf numFmtId="0" fontId="8" fillId="6" borderId="3" xfId="6" applyNumberFormat="1" applyFont="1" applyFill="1" applyBorder="1" applyAlignment="1">
      <alignment horizontal="left" vertical="center"/>
    </xf>
    <xf numFmtId="0" fontId="20" fillId="6" borderId="22" xfId="6" applyNumberFormat="1" applyFont="1" applyFill="1" applyBorder="1" applyAlignment="1">
      <alignment horizontal="left" vertical="center"/>
    </xf>
    <xf numFmtId="0" fontId="20" fillId="6" borderId="2" xfId="6" applyNumberFormat="1" applyFont="1" applyFill="1" applyBorder="1" applyAlignment="1">
      <alignment horizontal="left" vertical="center"/>
    </xf>
    <xf numFmtId="0" fontId="20" fillId="6" borderId="3" xfId="6" applyNumberFormat="1" applyFont="1" applyFill="1" applyBorder="1" applyAlignment="1">
      <alignment horizontal="left" vertical="center"/>
    </xf>
    <xf numFmtId="0" fontId="8" fillId="6" borderId="23" xfId="6" applyNumberFormat="1" applyFont="1" applyFill="1" applyBorder="1" applyAlignment="1">
      <alignment horizontal="left" vertical="center" shrinkToFit="1"/>
    </xf>
    <xf numFmtId="0" fontId="8" fillId="6" borderId="5" xfId="6" applyNumberFormat="1" applyFont="1" applyFill="1" applyBorder="1" applyAlignment="1">
      <alignment horizontal="left" vertical="center" shrinkToFit="1"/>
    </xf>
    <xf numFmtId="0" fontId="8" fillId="6" borderId="18" xfId="6" applyNumberFormat="1" applyFont="1" applyFill="1" applyBorder="1" applyAlignment="1">
      <alignment horizontal="left" vertical="center" shrinkToFit="1"/>
    </xf>
    <xf numFmtId="0" fontId="8" fillId="6" borderId="24" xfId="6" applyNumberFormat="1" applyFont="1" applyFill="1" applyBorder="1" applyAlignment="1">
      <alignment horizontal="center" vertical="center"/>
    </xf>
    <xf numFmtId="0" fontId="8" fillId="6" borderId="4" xfId="6" applyNumberFormat="1" applyFont="1" applyFill="1" applyBorder="1" applyAlignment="1">
      <alignment horizontal="center" vertical="center"/>
    </xf>
    <xf numFmtId="0" fontId="8" fillId="6" borderId="2" xfId="6" applyNumberFormat="1" applyFont="1" applyFill="1" applyBorder="1" applyAlignment="1">
      <alignment horizontal="center" vertical="center"/>
    </xf>
    <xf numFmtId="0" fontId="8" fillId="6" borderId="3" xfId="6" applyNumberFormat="1" applyFont="1" applyFill="1" applyBorder="1" applyAlignment="1">
      <alignment horizontal="center" vertical="center"/>
    </xf>
    <xf numFmtId="0" fontId="8" fillId="6" borderId="30" xfId="6" applyNumberFormat="1" applyFont="1" applyFill="1" applyBorder="1" applyAlignment="1">
      <alignment horizontal="center" vertical="center"/>
    </xf>
    <xf numFmtId="0" fontId="8" fillId="6" borderId="25" xfId="6" applyNumberFormat="1" applyFont="1" applyFill="1" applyBorder="1" applyAlignment="1">
      <alignment horizontal="center" vertical="center"/>
    </xf>
    <xf numFmtId="0" fontId="8" fillId="6" borderId="26" xfId="6" applyNumberFormat="1" applyFont="1" applyFill="1" applyBorder="1" applyAlignment="1">
      <alignment horizontal="center" vertical="center"/>
    </xf>
    <xf numFmtId="0" fontId="8" fillId="6" borderId="28" xfId="6" applyNumberFormat="1" applyFont="1" applyFill="1" applyBorder="1" applyAlignment="1">
      <alignment horizontal="center" vertical="center"/>
    </xf>
    <xf numFmtId="0" fontId="8" fillId="6" borderId="27" xfId="6" applyNumberFormat="1" applyFont="1" applyFill="1" applyBorder="1" applyAlignment="1">
      <alignment horizontal="center" vertical="center"/>
    </xf>
    <xf numFmtId="0" fontId="8" fillId="6" borderId="29" xfId="6" applyNumberFormat="1" applyFont="1" applyFill="1" applyBorder="1" applyAlignment="1">
      <alignment horizontal="left" vertical="center"/>
    </xf>
    <xf numFmtId="0" fontId="8" fillId="6" borderId="26" xfId="6" applyNumberFormat="1" applyFont="1" applyFill="1" applyBorder="1" applyAlignment="1">
      <alignment horizontal="left" vertical="center"/>
    </xf>
    <xf numFmtId="0" fontId="8" fillId="6" borderId="28" xfId="6" applyNumberFormat="1" applyFont="1" applyFill="1" applyBorder="1" applyAlignment="1">
      <alignment horizontal="left" vertical="center"/>
    </xf>
    <xf numFmtId="0" fontId="11" fillId="6" borderId="0" xfId="6" applyNumberFormat="1" applyFont="1" applyFill="1" applyAlignment="1">
      <alignment horizontal="center" vertical="center"/>
    </xf>
    <xf numFmtId="0" fontId="9" fillId="6" borderId="0" xfId="6" applyNumberFormat="1" applyFont="1" applyFill="1" applyAlignment="1">
      <alignment horizontal="center" vertical="center"/>
    </xf>
    <xf numFmtId="0" fontId="11" fillId="6" borderId="0" xfId="6" applyNumberFormat="1" applyFont="1" applyFill="1" applyAlignment="1">
      <alignment vertical="center" shrinkToFit="1"/>
    </xf>
    <xf numFmtId="0" fontId="11" fillId="6" borderId="0" xfId="6" applyNumberFormat="1" applyFont="1" applyFill="1" applyAlignment="1">
      <alignment vertical="center"/>
    </xf>
    <xf numFmtId="176" fontId="8" fillId="6" borderId="0" xfId="8" applyNumberFormat="1" applyFont="1" applyFill="1" applyBorder="1" applyAlignment="1">
      <alignment horizontal="right" vertical="center"/>
    </xf>
    <xf numFmtId="0" fontId="70" fillId="0" borderId="1" xfId="0" applyFont="1" applyBorder="1" applyAlignment="1">
      <alignment horizontal="left" vertical="top" wrapText="1" shrinkToFit="1"/>
    </xf>
  </cellXfs>
  <cellStyles count="319">
    <cellStyle name="20% - Accent1" xfId="22" xr:uid="{00000000-0005-0000-0000-000000000000}"/>
    <cellStyle name="20% - Accent2" xfId="23" xr:uid="{00000000-0005-0000-0000-000001000000}"/>
    <cellStyle name="20% - Accent3" xfId="24" xr:uid="{00000000-0005-0000-0000-000002000000}"/>
    <cellStyle name="20% - Accent4" xfId="25" xr:uid="{00000000-0005-0000-0000-000003000000}"/>
    <cellStyle name="20% - Accent5" xfId="26" xr:uid="{00000000-0005-0000-0000-000004000000}"/>
    <cellStyle name="20% - Accent6" xfId="27" xr:uid="{00000000-0005-0000-0000-000005000000}"/>
    <cellStyle name="20% - 强调文字颜色 1" xfId="28" xr:uid="{00000000-0005-0000-0000-000006000000}"/>
    <cellStyle name="20% - 强调文字颜色 2" xfId="29" xr:uid="{00000000-0005-0000-0000-000007000000}"/>
    <cellStyle name="20% - 强调文字颜色 3" xfId="30" xr:uid="{00000000-0005-0000-0000-000008000000}"/>
    <cellStyle name="20% - 强调文字颜色 4" xfId="31" xr:uid="{00000000-0005-0000-0000-000009000000}"/>
    <cellStyle name="20% - 强调文字颜色 5" xfId="32" xr:uid="{00000000-0005-0000-0000-00000A000000}"/>
    <cellStyle name="20% - 强调文字颜色 6" xfId="33" xr:uid="{00000000-0005-0000-0000-00000B000000}"/>
    <cellStyle name="40% - Accent1" xfId="34" xr:uid="{00000000-0005-0000-0000-00000C000000}"/>
    <cellStyle name="40% - Accent2" xfId="35" xr:uid="{00000000-0005-0000-0000-00000D000000}"/>
    <cellStyle name="40% - Accent3" xfId="36" xr:uid="{00000000-0005-0000-0000-00000E000000}"/>
    <cellStyle name="40% - Accent4" xfId="37" xr:uid="{00000000-0005-0000-0000-00000F000000}"/>
    <cellStyle name="40% - Accent5" xfId="38" xr:uid="{00000000-0005-0000-0000-000010000000}"/>
    <cellStyle name="40% - Accent6" xfId="39" xr:uid="{00000000-0005-0000-0000-000011000000}"/>
    <cellStyle name="40% - 强调文字颜色 1" xfId="40" xr:uid="{00000000-0005-0000-0000-000012000000}"/>
    <cellStyle name="40% - 强调文字颜色 2" xfId="41" xr:uid="{00000000-0005-0000-0000-000013000000}"/>
    <cellStyle name="40% - 强调文字颜色 3" xfId="42" xr:uid="{00000000-0005-0000-0000-000014000000}"/>
    <cellStyle name="40% - 强调文字颜色 4" xfId="43" xr:uid="{00000000-0005-0000-0000-000015000000}"/>
    <cellStyle name="40% - 强调文字颜色 5" xfId="44" xr:uid="{00000000-0005-0000-0000-000016000000}"/>
    <cellStyle name="40% - 强调文字颜色 6" xfId="45" xr:uid="{00000000-0005-0000-0000-000017000000}"/>
    <cellStyle name="60% - Accent1" xfId="46" xr:uid="{00000000-0005-0000-0000-000018000000}"/>
    <cellStyle name="60% - Accent2" xfId="47" xr:uid="{00000000-0005-0000-0000-000019000000}"/>
    <cellStyle name="60% - Accent3" xfId="48" xr:uid="{00000000-0005-0000-0000-00001A000000}"/>
    <cellStyle name="60% - Accent4" xfId="49" xr:uid="{00000000-0005-0000-0000-00001B000000}"/>
    <cellStyle name="60% - Accent5" xfId="50" xr:uid="{00000000-0005-0000-0000-00001C000000}"/>
    <cellStyle name="60% - Accent6" xfId="51" xr:uid="{00000000-0005-0000-0000-00001D000000}"/>
    <cellStyle name="60% - 强调文字颜色 1" xfId="52" xr:uid="{00000000-0005-0000-0000-00001E000000}"/>
    <cellStyle name="60% - 强调文字颜色 2" xfId="53" xr:uid="{00000000-0005-0000-0000-00001F000000}"/>
    <cellStyle name="60% - 强调文字颜色 3" xfId="54" xr:uid="{00000000-0005-0000-0000-000020000000}"/>
    <cellStyle name="60% - 强调文字颜色 4" xfId="55" xr:uid="{00000000-0005-0000-0000-000021000000}"/>
    <cellStyle name="60% - 强调文字颜色 5" xfId="56" xr:uid="{00000000-0005-0000-0000-000022000000}"/>
    <cellStyle name="60% - 强调文字颜色 6" xfId="57" xr:uid="{00000000-0005-0000-0000-000023000000}"/>
    <cellStyle name="Accent1" xfId="58" xr:uid="{00000000-0005-0000-0000-000024000000}"/>
    <cellStyle name="Accent2" xfId="59" xr:uid="{00000000-0005-0000-0000-000025000000}"/>
    <cellStyle name="Accent3" xfId="60" xr:uid="{00000000-0005-0000-0000-000026000000}"/>
    <cellStyle name="Accent4" xfId="61" xr:uid="{00000000-0005-0000-0000-000027000000}"/>
    <cellStyle name="Accent5" xfId="62" xr:uid="{00000000-0005-0000-0000-000028000000}"/>
    <cellStyle name="Accent6" xfId="63" xr:uid="{00000000-0005-0000-0000-000029000000}"/>
    <cellStyle name="Bad" xfId="64" xr:uid="{00000000-0005-0000-0000-00002A000000}"/>
    <cellStyle name="Calculation" xfId="65" xr:uid="{00000000-0005-0000-0000-00002B000000}"/>
    <cellStyle name="Check Cell" xfId="66" xr:uid="{00000000-0005-0000-0000-00002C000000}"/>
    <cellStyle name="Explanatory Text" xfId="67" xr:uid="{00000000-0005-0000-0000-00002D000000}"/>
    <cellStyle name="Good" xfId="68" xr:uid="{00000000-0005-0000-0000-00002E000000}"/>
    <cellStyle name="Heading 1" xfId="69" xr:uid="{00000000-0005-0000-0000-00002F000000}"/>
    <cellStyle name="Heading 2" xfId="70" xr:uid="{00000000-0005-0000-0000-000030000000}"/>
    <cellStyle name="Heading 3" xfId="71" xr:uid="{00000000-0005-0000-0000-000031000000}"/>
    <cellStyle name="Heading 4" xfId="72" xr:uid="{00000000-0005-0000-0000-000032000000}"/>
    <cellStyle name="Input" xfId="73" xr:uid="{00000000-0005-0000-0000-000033000000}"/>
    <cellStyle name="Linked Cell" xfId="74" xr:uid="{00000000-0005-0000-0000-000034000000}"/>
    <cellStyle name="Neutral" xfId="75" xr:uid="{00000000-0005-0000-0000-000035000000}"/>
    <cellStyle name="Normal_corus" xfId="1" xr:uid="{00000000-0005-0000-0000-000036000000}"/>
    <cellStyle name="Note" xfId="76" xr:uid="{00000000-0005-0000-0000-000037000000}"/>
    <cellStyle name="Output" xfId="77" xr:uid="{00000000-0005-0000-0000-000038000000}"/>
    <cellStyle name="Title" xfId="78" xr:uid="{00000000-0005-0000-0000-000039000000}"/>
    <cellStyle name="Total" xfId="79" xr:uid="{00000000-0005-0000-0000-00003A000000}"/>
    <cellStyle name="Warning Text" xfId="80" xr:uid="{00000000-0005-0000-0000-00003B000000}"/>
    <cellStyle name="一般" xfId="0" builtinId="0"/>
    <cellStyle name="一般 2" xfId="2" xr:uid="{00000000-0005-0000-0000-00003D000000}"/>
    <cellStyle name="一般 2 2" xfId="154" xr:uid="{00000000-0005-0000-0000-00003E000000}"/>
    <cellStyle name="一般 2 2 2" xfId="155" xr:uid="{00000000-0005-0000-0000-00003F000000}"/>
    <cellStyle name="一般 2 3" xfId="156" xr:uid="{00000000-0005-0000-0000-000040000000}"/>
    <cellStyle name="一般 2_OGC-1180422-OCEAN SEDNA-(ALKYLATE)-SIETCO-TEST" xfId="157" xr:uid="{00000000-0005-0000-0000-000041000000}"/>
    <cellStyle name="一般 3" xfId="81" xr:uid="{00000000-0005-0000-0000-000042000000}"/>
    <cellStyle name="一般 3 2" xfId="158" xr:uid="{00000000-0005-0000-0000-000043000000}"/>
    <cellStyle name="一般 3_OGC-1180422-OCEAN SEDNA-(ALKYLATE)-SIETCO-TEST" xfId="159" xr:uid="{00000000-0005-0000-0000-000044000000}"/>
    <cellStyle name="一般 4" xfId="82" xr:uid="{00000000-0005-0000-0000-000045000000}"/>
    <cellStyle name="一般 5" xfId="160" xr:uid="{00000000-0005-0000-0000-000046000000}"/>
    <cellStyle name="一般 6" xfId="161" xr:uid="{00000000-0005-0000-0000-000047000000}"/>
    <cellStyle name="一般_ETHYLENE " xfId="3" xr:uid="{00000000-0005-0000-0000-00004D000000}"/>
    <cellStyle name="一般_ETHYLENE _OGC038142" xfId="4" xr:uid="{00000000-0005-0000-0000-00004E000000}"/>
    <cellStyle name="一般_SGS" xfId="318" xr:uid="{E7EB47A6-416F-4B63-A20C-3D1DF0E2308E}"/>
    <cellStyle name="一般_TA-LIN-PU" xfId="5" xr:uid="{00000000-0005-0000-0000-000057000000}"/>
    <cellStyle name="一般_母檔 2009 02 27" xfId="6" xr:uid="{00000000-0005-0000-0000-000063000000}"/>
    <cellStyle name="千分位" xfId="317" builtinId="3"/>
    <cellStyle name="千分位 2" xfId="7" xr:uid="{00000000-0005-0000-0000-000067000000}"/>
    <cellStyle name="千分位 3" xfId="83" xr:uid="{00000000-0005-0000-0000-000068000000}"/>
    <cellStyle name="千分位 4" xfId="153" xr:uid="{00000000-0005-0000-0000-000069000000}"/>
    <cellStyle name="千分位[0]" xfId="8" builtinId="6"/>
    <cellStyle name="千分位[0] 2" xfId="232" xr:uid="{00000000-0005-0000-0000-00006B000000}"/>
    <cellStyle name="千分位_母檔 2009 02 27" xfId="9" xr:uid="{00000000-0005-0000-0000-00006D000000}"/>
    <cellStyle name="计算" xfId="151" xr:uid="{00000000-0005-0000-0000-00006E000000}"/>
    <cellStyle name="汇总" xfId="150" xr:uid="{00000000-0005-0000-0000-00006F000000}"/>
    <cellStyle name="好_070718 Fortune Victoia-B" xfId="84" xr:uid="{00000000-0005-0000-0000-000070000000}"/>
    <cellStyle name="好_0980291-OCEAN GLOBE (version 1)" xfId="85" xr:uid="{00000000-0005-0000-0000-000071000000}"/>
    <cellStyle name="好_0980295 FORMOSA FOUR (新版) MTBE 090324" xfId="86" xr:uid="{00000000-0005-0000-0000-000072000000}"/>
    <cellStyle name="好_11" xfId="162" xr:uid="{00000000-0005-0000-0000-000073000000}"/>
    <cellStyle name="好_500N-COA-SC QINGDAO (3)" xfId="163" xr:uid="{00000000-0005-0000-0000-000074000000}"/>
    <cellStyle name="好_AA 母檔kAOHSIUNG" xfId="164" xr:uid="{00000000-0005-0000-0000-000075000000}"/>
    <cellStyle name="好_ACETONE 2009 11 05" xfId="165" xr:uid="{00000000-0005-0000-0000-000076000000}"/>
    <cellStyle name="好_Acetone 2009 11 10" xfId="166" xr:uid="{00000000-0005-0000-0000-000077000000}"/>
    <cellStyle name="好_Acetone 2009 11 10_Ethylene 2010 01 12" xfId="167" xr:uid="{00000000-0005-0000-0000-000078000000}"/>
    <cellStyle name="好_Acetone 2009 11 10_LPG母檔(C3&amp;C4)-V.2010-02-10" xfId="168" xr:uid="{00000000-0005-0000-0000-000079000000}"/>
    <cellStyle name="好_Acetone 2010 05 01" xfId="169" xr:uid="{00000000-0005-0000-0000-00007A000000}"/>
    <cellStyle name="好_AN 2011 04 15" xfId="170" xr:uid="{00000000-0005-0000-0000-00007B000000}"/>
    <cellStyle name="好_BCS 2009 09 18" xfId="233" xr:uid="{00000000-0005-0000-0000-00007C000000}"/>
    <cellStyle name="好_BCS 母檔 2008 10 25" xfId="10" xr:uid="{00000000-0005-0000-0000-00007D000000}"/>
    <cellStyle name="好_COA- OGC-1080354-CHAMPOIL" xfId="171" xr:uid="{00000000-0005-0000-0000-00007E000000}"/>
    <cellStyle name="好_COA-Blending_Parcel" xfId="172" xr:uid="{00000000-0005-0000-0000-00007F000000}"/>
    <cellStyle name="好_COA-OGC 1081249-NORD INDEPENDENCE-ALKYLATE-VITOL" xfId="173" xr:uid="{00000000-0005-0000-0000-000080000000}"/>
    <cellStyle name="好_COA-OGC 1081400-ZHONGJI NO(1).1-GASOLINE 88 RON UNLEADED" xfId="174" xr:uid="{00000000-0005-0000-0000-000081000000}"/>
    <cellStyle name="好_COA-PFO(1)" xfId="175" xr:uid="{00000000-0005-0000-0000-000082000000}"/>
    <cellStyle name="好_COVER" xfId="87" xr:uid="{00000000-0005-0000-0000-000083000000}"/>
    <cellStyle name="好_COVER(1)" xfId="88" xr:uid="{00000000-0005-0000-0000-000084000000}"/>
    <cellStyle name="好_Crane Poseidon 08 09 19 (SKNET) OGC-088 1151" xfId="11" xr:uid="{00000000-0005-0000-0000-000085000000}"/>
    <cellStyle name="好_Crude Oil 2011 08 26" xfId="176" xr:uid="{00000000-0005-0000-0000-000086000000}"/>
    <cellStyle name="好_DOP &amp; DINP 2009 10 05" xfId="234" xr:uid="{00000000-0005-0000-0000-000087000000}"/>
    <cellStyle name="好_Ethylene 2010 01 12" xfId="177" xr:uid="{00000000-0005-0000-0000-000088000000}"/>
    <cellStyle name="好_LPG母檔(C3&amp;C4)-V.2010-02-10" xfId="178" xr:uid="{00000000-0005-0000-0000-000089000000}"/>
    <cellStyle name="好_MAY-19-2008 TROCHUS OGC-0880601" xfId="89" xr:uid="{00000000-0005-0000-0000-00008A000000}"/>
    <cellStyle name="好_MEG 母檔 2008 12  04" xfId="277" xr:uid="{00000000-0005-0000-0000-00008B000000}"/>
    <cellStyle name="好_OGC 1081479 AB SC QINGDAO (Twmit) MEG 1223" xfId="90" xr:uid="{00000000-0005-0000-0000-00008C000000}"/>
    <cellStyle name="好_OGC-0880210-ROYAL EMERALD-MEG-TWMIT" xfId="91" xr:uid="{00000000-0005-0000-0000-00008D000000}"/>
    <cellStyle name="好_OGC-0880534AB SPRING LYRA-Soda -FPCUSA" xfId="92" xr:uid="{00000000-0005-0000-0000-00008E000000}"/>
    <cellStyle name="好_OGC-0880834-STOLT SINCERITY-2EHA-GANTRADE" xfId="93" xr:uid="{00000000-0005-0000-0000-00008F000000}"/>
    <cellStyle name="好_OGC-0880911-ASIANAN SAMBU-AN-FPC" xfId="179" xr:uid="{00000000-0005-0000-0000-000090000000}"/>
    <cellStyle name="好_OGC-0881381AC-ASUKA-SM-FCFC" xfId="180" xr:uid="{00000000-0005-0000-0000-000091000000}"/>
    <cellStyle name="好_OGC-0980036-SAMHO RUBE MTBE0128" xfId="181" xr:uid="{00000000-0005-0000-0000-000092000000}"/>
    <cellStyle name="好_OGC-0980264-SETYAWATI-SM-FCFC" xfId="278" xr:uid="{00000000-0005-0000-0000-000093000000}"/>
    <cellStyle name="好_OGC-0980281-PUSPAWATI-DEG-KC" xfId="94" xr:uid="{00000000-0005-0000-0000-000094000000}"/>
    <cellStyle name="好_OGC-0980307-KANG YUN-(CPC)-ALKYLATE-0325" xfId="95" xr:uid="{00000000-0005-0000-0000-000095000000}"/>
    <cellStyle name="好_OGC-0980355 TORM KANSAS(ALKYLATE)-BP" xfId="96" xr:uid="{00000000-0005-0000-0000-000096000000}"/>
    <cellStyle name="好_OGC-0980396-SETYAWATI-SM-FCFC" xfId="279" xr:uid="{00000000-0005-0000-0000-000097000000}"/>
    <cellStyle name="好_OGC-0980497 XUE SONG -MEG(FOMEA) 20090509" xfId="280" xr:uid="{00000000-0005-0000-0000-000098000000}"/>
    <cellStyle name="好_OGC-0980497-XUE SONG-MEG-FOMEA" xfId="97" xr:uid="{00000000-0005-0000-0000-000099000000}"/>
    <cellStyle name="好_OGC-0980540-A-PRITA DEWI-DEG-DELTEC" xfId="98" xr:uid="{00000000-0005-0000-0000-00009A000000}"/>
    <cellStyle name="好_OGC-0980611AB-SAMHO ONYX-SM-LOWI (2)" xfId="182" xr:uid="{00000000-0005-0000-0000-00009B000000}"/>
    <cellStyle name="好_OGC-0980729-STOLT MEGAMI-BA-GANTRADE-EUROPE" xfId="281" xr:uid="{00000000-0005-0000-0000-00009C000000}"/>
    <cellStyle name="好_OGC-0980863-A-SAMHO SAPPHIRE-DEG-DELTEC" xfId="99" xr:uid="{00000000-0005-0000-0000-00009D000000}"/>
    <cellStyle name="好_OGC-0980917-STOLT INNOVATION-BA-GANTRAE EUROPE" xfId="282" xr:uid="{00000000-0005-0000-0000-00009E000000}"/>
    <cellStyle name="好_OGC-0981048-SUNNY DREAM-DEG-DELTEC" xfId="100" xr:uid="{00000000-0005-0000-0000-00009F000000}"/>
    <cellStyle name="好_OGC-0981068-SETYAWATI-MEG-KINTU" xfId="101" xr:uid="{00000000-0005-0000-0000-0000A0000000}"/>
    <cellStyle name="好_OGC-0981073 MOUNTAIN BLOSSOM-SODA-BCS-20090903" xfId="183" xr:uid="{00000000-0005-0000-0000-0000A1000000}"/>
    <cellStyle name="好_OGC-0981170-WOO HYEON-AN-FPC" xfId="184" xr:uid="{00000000-0005-0000-0000-0000A2000000}"/>
    <cellStyle name="好_OGC-0981216-CHEMROUTE BRILLIANT-PHENOL-FCFC" xfId="283" xr:uid="{00000000-0005-0000-0000-0000A3000000}"/>
    <cellStyle name="好_OGC-0981310-GLOBAL CHALLENGE-PHENOL-FCFC" xfId="284" xr:uid="{00000000-0005-0000-0000-0000A4000000}"/>
    <cellStyle name="好_OGC-0981323-ACACIA-BA-FPC" xfId="235" xr:uid="{00000000-0005-0000-0000-0000A5000000}"/>
    <cellStyle name="好_OGC-0981371 BOW DE FENG-MEG-ITOCC-20091122" xfId="185" xr:uid="{00000000-0005-0000-0000-0000A6000000}"/>
    <cellStyle name="好_OGC-0981570-NO.2 HEUNG-A PIONEER-PHENOL-FCFC" xfId="285" xr:uid="{00000000-0005-0000-0000-0000A7000000}"/>
    <cellStyle name="好_OGC-1080032-AGILITY-BA-FPC" xfId="236" xr:uid="{00000000-0005-0000-0000-0000A8000000}"/>
    <cellStyle name="好_OGC-1080050 NEW MIGHTY-BASE OIL 150N-WINSON-20100202" xfId="186" xr:uid="{00000000-0005-0000-0000-0000A9000000}"/>
    <cellStyle name="好_OGC-1080207 B-CAPRIOLE-BA (FPC) 2010 02 18" xfId="237" xr:uid="{00000000-0005-0000-0000-0000AA000000}"/>
    <cellStyle name="好_OGC-1080207A-CAPRIOLE-BA-FPC" xfId="238" xr:uid="{00000000-0005-0000-0000-0000AB000000}"/>
    <cellStyle name="好_OGC-1080207B-CAPRIOLE-BA-FPC" xfId="239" xr:uid="{00000000-0005-0000-0000-0000AC000000}"/>
    <cellStyle name="好_OGC-1080304-ORIENTAL ROSE-BA-FPC" xfId="240" xr:uid="{00000000-0005-0000-0000-0000AD000000}"/>
    <cellStyle name="好_OGC-1080444-ERRIA IDA-BA-FPC" xfId="241" xr:uid="{00000000-0005-0000-0000-0000AE000000}"/>
    <cellStyle name="好_OGC-1080851-GINGA CHEETAH-BA-FPC" xfId="242" xr:uid="{00000000-0005-0000-0000-0000AF000000}"/>
    <cellStyle name="好_OGC-1080974-GLOBAL MOON-BA-FPC" xfId="243" xr:uid="{00000000-0005-0000-0000-0000B0000000}"/>
    <cellStyle name="好_OGC-1081150-GINGA COUGAR-PHENOL-FCFC" xfId="286" xr:uid="{00000000-0005-0000-0000-0000B1000000}"/>
    <cellStyle name="好_OGC-1081223-CRANE PLANET-ACETONE-LENSO" xfId="287" xr:uid="{00000000-0005-0000-0000-0000B2000000}"/>
    <cellStyle name="好_OGC-1081293-KY VENUS-PHENOL-FCFC" xfId="288" xr:uid="{00000000-0005-0000-0000-0000B3000000}"/>
    <cellStyle name="好_OGC-1180163 NAKSKOV MAERSK-llGASOIL 0.05%S-TOTSA" xfId="187" xr:uid="{00000000-0005-0000-0000-0000B4000000}"/>
    <cellStyle name="好_OGC-1180219-MALHARI-PHENOL-FCFC" xfId="289" xr:uid="{00000000-0005-0000-0000-0000B5000000}"/>
    <cellStyle name="好_OGC-1180255-ORIENTAL ROSE-BA-FPC" xfId="244" xr:uid="{00000000-0005-0000-0000-0000B6000000}"/>
    <cellStyle name="好_OGC-1180628-CAPRIOLE-BA-FPC" xfId="245" xr:uid="{00000000-0005-0000-0000-0000B7000000}"/>
    <cellStyle name="好_OGC-1180680-BOW MATE-AN-FPC" xfId="188" xr:uid="{00000000-0005-0000-0000-0000B8000000}"/>
    <cellStyle name="好_OGC-1180696-NEELAMBARI-PHENOL-FCFC" xfId="290" xr:uid="{00000000-0005-0000-0000-0000B9000000}"/>
    <cellStyle name="好_OGC-1180721-CHEMSTAR-BA-FPC" xfId="246" xr:uid="{00000000-0005-0000-0000-0000BA000000}"/>
    <cellStyle name="好_OGC-1180793-ROYAL PERIDOT-PHENOL-FCFC" xfId="291" xr:uid="{00000000-0005-0000-0000-0000BB000000}"/>
    <cellStyle name="好_OGC-1180832-AS OMARIA-BA-FPC" xfId="247" xr:uid="{00000000-0005-0000-0000-0000BC000000}"/>
    <cellStyle name="好_OGC-1180841-GOLDEN DOMINANCE-ACETONE-CHEMNEWS(IRAN)" xfId="292" xr:uid="{00000000-0005-0000-0000-0000BD000000}"/>
    <cellStyle name="好_OGC-1180853-CONSTANCY-PHENOL-SUMITOMO" xfId="293" xr:uid="{00000000-0005-0000-0000-0000BE000000}"/>
    <cellStyle name="好_OGC-1180907-CRANE PLANET-BA-FPC" xfId="248" xr:uid="{00000000-0005-0000-0000-0000BF000000}"/>
    <cellStyle name="好_OGC-1180922-CAPRIOLE-PHENOL-FCFC" xfId="294" xr:uid="{00000000-0005-0000-0000-0000C0000000}"/>
    <cellStyle name="好_OGC-1180932-CAPRIOLE-PHENOL-CHEMNEWS(IRAN)" xfId="295" xr:uid="{00000000-0005-0000-0000-0000C1000000}"/>
    <cellStyle name="好_OGC-1180955B-DL CLOVER-BA-FPC" xfId="249" xr:uid="{00000000-0005-0000-0000-0000C2000000}"/>
    <cellStyle name="好_OGC-1181005-KY VENUS-PHENOL-FCFC" xfId="296" xr:uid="{00000000-0005-0000-0000-0000C3000000}"/>
    <cellStyle name="好_OGC-1181051-DL VIOLET-BA-FPC" xfId="250" xr:uid="{00000000-0005-0000-0000-0000C4000000}"/>
    <cellStyle name="好_P 數量" xfId="251" xr:uid="{00000000-0005-0000-0000-0000C5000000}"/>
    <cellStyle name="好_P 數量 2010 05 01" xfId="189" xr:uid="{00000000-0005-0000-0000-0000C6000000}"/>
    <cellStyle name="好_P 驗艙 2010 05 01" xfId="252" xr:uid="{00000000-0005-0000-0000-0000C7000000}"/>
    <cellStyle name="好_P 驗艙 甲板驗" xfId="253" xr:uid="{00000000-0005-0000-0000-0000C8000000}"/>
    <cellStyle name="好_SODA TRICON 2010 04 01" xfId="254" xr:uid="{00000000-0005-0000-0000-0000C9000000}"/>
    <cellStyle name="好_UPDATE1_-OGC_1081248-NORD_INDEPENDENCE-GASOLINE_93-VITOL" xfId="190" xr:uid="{00000000-0005-0000-0000-0000CA000000}"/>
    <cellStyle name="好_UPDATES OGC-0980252 AN YUN (MTBE)-CPC" xfId="102" xr:uid="{00000000-0005-0000-0000-0000CB000000}"/>
    <cellStyle name="好_UPDATES OGC-0980295 FORMOSA FOUR(MTBE)-CPC" xfId="103" xr:uid="{00000000-0005-0000-0000-0000CC000000}"/>
    <cellStyle name="好_UPDATES OGC-0981391 SC GUANGZHOU(BASE OIL 150N)-CHAMPOIL" xfId="191" xr:uid="{00000000-0005-0000-0000-0000CD000000}"/>
    <cellStyle name="好_UPDATES OGC-1080221-SC VENUS(BASE OIL150N)" xfId="192" xr:uid="{00000000-0005-0000-0000-0000CE000000}"/>
    <cellStyle name="好_UPDATES OGC-1080222-SC VENUS(BASE OIL500N)" xfId="193" xr:uid="{00000000-0005-0000-0000-0000CF000000}"/>
    <cellStyle name="好_UPDATES_OGC-0980134_GINGA_PHOENIX_(MTBE)(1)" xfId="194" xr:uid="{00000000-0005-0000-0000-0000D0000000}"/>
    <cellStyle name="好_VINASHIN VICTORY(1) 93 OGC-0980238 MARCH-03-2009" xfId="104" xr:uid="{00000000-0005-0000-0000-0000D1000000}"/>
    <cellStyle name="好_工作日誌991206" xfId="105" xr:uid="{00000000-0005-0000-0000-0000D2000000}"/>
    <cellStyle name="好_母檔" xfId="106" xr:uid="{00000000-0005-0000-0000-0000D3000000}"/>
    <cellStyle name="好_母檔 2009 02 27" xfId="12" xr:uid="{00000000-0005-0000-0000-0000D4000000}"/>
    <cellStyle name="百分比 2" xfId="13" xr:uid="{00000000-0005-0000-0000-0000D6000000}"/>
    <cellStyle name="百分比 2 2" xfId="195" xr:uid="{00000000-0005-0000-0000-0000D7000000}"/>
    <cellStyle name="百分比 3" xfId="196" xr:uid="{00000000-0005-0000-0000-0000D8000000}"/>
    <cellStyle name="注释" xfId="107" xr:uid="{00000000-0005-0000-0000-0000D9000000}"/>
    <cellStyle name="标题" xfId="144" xr:uid="{00000000-0005-0000-0000-0000DA000000}"/>
    <cellStyle name="标题 1" xfId="145" xr:uid="{00000000-0005-0000-0000-0000DB000000}"/>
    <cellStyle name="标题 2" xfId="146" xr:uid="{00000000-0005-0000-0000-0000DC000000}"/>
    <cellStyle name="标题 3" xfId="147" xr:uid="{00000000-0005-0000-0000-0000DD000000}"/>
    <cellStyle name="标题 4" xfId="148" xr:uid="{00000000-0005-0000-0000-0000DE000000}"/>
    <cellStyle name="差" xfId="108" xr:uid="{00000000-0005-0000-0000-0000DF000000}"/>
    <cellStyle name="桁区切り [0.00]_STS 1" xfId="14" xr:uid="{00000000-0005-0000-0000-0000E0000000}"/>
    <cellStyle name="桁区切り_STS 1" xfId="15" xr:uid="{00000000-0005-0000-0000-0000E1000000}"/>
    <cellStyle name="适中" xfId="109" xr:uid="{00000000-0005-0000-0000-0000E2000000}"/>
    <cellStyle name="检查单元格" xfId="149" xr:uid="{00000000-0005-0000-0000-0000E3000000}"/>
    <cellStyle name="通貨 [0.00]_STS 1" xfId="16" xr:uid="{00000000-0005-0000-0000-0000E4000000}"/>
    <cellStyle name="通貨_STS 1" xfId="17" xr:uid="{00000000-0005-0000-0000-0000E5000000}"/>
    <cellStyle name="强调文字颜色 1" xfId="110" xr:uid="{00000000-0005-0000-0000-0000E6000000}"/>
    <cellStyle name="强调文字颜色 2" xfId="111" xr:uid="{00000000-0005-0000-0000-0000E7000000}"/>
    <cellStyle name="强调文字颜色 3" xfId="112" xr:uid="{00000000-0005-0000-0000-0000E8000000}"/>
    <cellStyle name="强调文字颜色 4" xfId="113" xr:uid="{00000000-0005-0000-0000-0000E9000000}"/>
    <cellStyle name="强调文字颜色 5" xfId="114" xr:uid="{00000000-0005-0000-0000-0000EA000000}"/>
    <cellStyle name="强调文字颜色 6" xfId="115" xr:uid="{00000000-0005-0000-0000-0000EB000000}"/>
    <cellStyle name="超連結 2" xfId="197" xr:uid="{00000000-0005-0000-0000-0000ED000000}"/>
    <cellStyle name="超連結 3" xfId="231" xr:uid="{00000000-0005-0000-0000-0000EE000000}"/>
    <cellStyle name="链接单元格" xfId="152" xr:uid="{00000000-0005-0000-0000-0000EF000000}"/>
    <cellStyle name="解释性文本" xfId="116" xr:uid="{00000000-0005-0000-0000-0000F0000000}"/>
    <cellStyle name="输入" xfId="117" xr:uid="{00000000-0005-0000-0000-0000F1000000}"/>
    <cellStyle name="输出" xfId="118" xr:uid="{00000000-0005-0000-0000-0000F2000000}"/>
    <cellStyle name="標準_CONTENTS" xfId="18" xr:uid="{00000000-0005-0000-0000-0000F3000000}"/>
    <cellStyle name="隨後的超連結_189-00036-03 (K-1)" xfId="119" xr:uid="{00000000-0005-0000-0000-0000F4000000}"/>
    <cellStyle name="壞_070718 Fortune Victoia-B" xfId="120" xr:uid="{00000000-0005-0000-0000-0000F5000000}"/>
    <cellStyle name="壞_0980291-OCEAN GLOBE (version 1)" xfId="121" xr:uid="{00000000-0005-0000-0000-0000F6000000}"/>
    <cellStyle name="壞_0980295 FORMOSA FOUR (新版) MTBE 090324" xfId="122" xr:uid="{00000000-0005-0000-0000-0000F7000000}"/>
    <cellStyle name="壞_11" xfId="198" xr:uid="{00000000-0005-0000-0000-0000F8000000}"/>
    <cellStyle name="壞_500N-COA-SC QINGDAO (3)" xfId="199" xr:uid="{00000000-0005-0000-0000-0000F9000000}"/>
    <cellStyle name="壞_AA 母檔kAOHSIUNG" xfId="200" xr:uid="{00000000-0005-0000-0000-0000FA000000}"/>
    <cellStyle name="壞_ACETONE 2009 11 05" xfId="201" xr:uid="{00000000-0005-0000-0000-0000FB000000}"/>
    <cellStyle name="壞_Acetone 2009 11 10" xfId="202" xr:uid="{00000000-0005-0000-0000-0000FC000000}"/>
    <cellStyle name="壞_Acetone 2009 11 10_Ethylene 2010 01 12" xfId="203" xr:uid="{00000000-0005-0000-0000-0000FD000000}"/>
    <cellStyle name="壞_Acetone 2009 11 10_LPG母檔(C3&amp;C4)-V.2010-02-10" xfId="204" xr:uid="{00000000-0005-0000-0000-0000FE000000}"/>
    <cellStyle name="壞_Acetone 2010 05 01" xfId="205" xr:uid="{00000000-0005-0000-0000-0000FF000000}"/>
    <cellStyle name="壞_AN 2011 04 15" xfId="206" xr:uid="{00000000-0005-0000-0000-000000010000}"/>
    <cellStyle name="壞_BCS 2009 09 18" xfId="255" xr:uid="{00000000-0005-0000-0000-000001010000}"/>
    <cellStyle name="壞_BCS 母檔 2008 10 25" xfId="19" xr:uid="{00000000-0005-0000-0000-000002010000}"/>
    <cellStyle name="壞_COA- OGC-1080354-CHAMPOIL" xfId="207" xr:uid="{00000000-0005-0000-0000-000003010000}"/>
    <cellStyle name="壞_COA-Blending_Parcel" xfId="208" xr:uid="{00000000-0005-0000-0000-000004010000}"/>
    <cellStyle name="壞_COA-OGC 1081249-NORD INDEPENDENCE-ALKYLATE-VITOL" xfId="209" xr:uid="{00000000-0005-0000-0000-000005010000}"/>
    <cellStyle name="壞_COA-OGC 1081400-ZHONGJI NO(1).1-GASOLINE 88 RON UNLEADED" xfId="210" xr:uid="{00000000-0005-0000-0000-000006010000}"/>
    <cellStyle name="壞_COA-PFO(1)" xfId="211" xr:uid="{00000000-0005-0000-0000-000007010000}"/>
    <cellStyle name="壞_COVER" xfId="123" xr:uid="{00000000-0005-0000-0000-000008010000}"/>
    <cellStyle name="壞_COVER(1)" xfId="124" xr:uid="{00000000-0005-0000-0000-000009010000}"/>
    <cellStyle name="壞_Crane Poseidon 08 09 19 (SKNET) OGC-088 1151" xfId="20" xr:uid="{00000000-0005-0000-0000-00000A010000}"/>
    <cellStyle name="壞_Crude Oil 2011 08 26" xfId="212" xr:uid="{00000000-0005-0000-0000-00000B010000}"/>
    <cellStyle name="壞_DOP &amp; DINP 2009 10 05" xfId="256" xr:uid="{00000000-0005-0000-0000-00000C010000}"/>
    <cellStyle name="壞_Ethylene 2010 01 12" xfId="213" xr:uid="{00000000-0005-0000-0000-00000D010000}"/>
    <cellStyle name="壞_LPG母檔(C3&amp;C4)-V.2010-02-10" xfId="214" xr:uid="{00000000-0005-0000-0000-00000E010000}"/>
    <cellStyle name="壞_MAY-19-2008 TROCHUS OGC-0880601" xfId="125" xr:uid="{00000000-0005-0000-0000-00000F010000}"/>
    <cellStyle name="壞_MEG 母檔 2008 12  04" xfId="297" xr:uid="{00000000-0005-0000-0000-000010010000}"/>
    <cellStyle name="壞_OGC 1081479 AB SC QINGDAO (Twmit) MEG 1223" xfId="126" xr:uid="{00000000-0005-0000-0000-000011010000}"/>
    <cellStyle name="壞_OGC-0880210-ROYAL EMERALD-MEG-TWMIT" xfId="127" xr:uid="{00000000-0005-0000-0000-000012010000}"/>
    <cellStyle name="壞_OGC-0880534AB SPRING LYRA-Soda -FPCUSA" xfId="128" xr:uid="{00000000-0005-0000-0000-000013010000}"/>
    <cellStyle name="壞_OGC-0880834-STOLT SINCERITY-2EHA-GANTRADE" xfId="129" xr:uid="{00000000-0005-0000-0000-000014010000}"/>
    <cellStyle name="壞_OGC-0880911-ASIANAN SAMBU-AN-FPC" xfId="215" xr:uid="{00000000-0005-0000-0000-000015010000}"/>
    <cellStyle name="壞_OGC-0881381AC-ASUKA-SM-FCFC" xfId="216" xr:uid="{00000000-0005-0000-0000-000016010000}"/>
    <cellStyle name="壞_OGC-0980036-SAMHO RUBE MTBE0128" xfId="217" xr:uid="{00000000-0005-0000-0000-000017010000}"/>
    <cellStyle name="壞_OGC-0980264-SETYAWATI-SM-FCFC" xfId="298" xr:uid="{00000000-0005-0000-0000-000018010000}"/>
    <cellStyle name="壞_OGC-0980281-PUSPAWATI-DEG-KC" xfId="130" xr:uid="{00000000-0005-0000-0000-000019010000}"/>
    <cellStyle name="壞_OGC-0980307-KANG YUN-(CPC)-ALKYLATE-0325" xfId="131" xr:uid="{00000000-0005-0000-0000-00001A010000}"/>
    <cellStyle name="壞_OGC-0980355 TORM KANSAS(ALKYLATE)-BP" xfId="132" xr:uid="{00000000-0005-0000-0000-00001B010000}"/>
    <cellStyle name="壞_OGC-0980396-SETYAWATI-SM-FCFC" xfId="299" xr:uid="{00000000-0005-0000-0000-00001C010000}"/>
    <cellStyle name="壞_OGC-0980497 XUE SONG -MEG(FOMEA) 20090509" xfId="300" xr:uid="{00000000-0005-0000-0000-00001D010000}"/>
    <cellStyle name="壞_OGC-0980497-XUE SONG-MEG-FOMEA" xfId="133" xr:uid="{00000000-0005-0000-0000-00001E010000}"/>
    <cellStyle name="壞_OGC-0980540-A-PRITA DEWI-DEG-DELTEC" xfId="134" xr:uid="{00000000-0005-0000-0000-00001F010000}"/>
    <cellStyle name="壞_OGC-0980611AB-SAMHO ONYX-SM-LOWI (2)" xfId="218" xr:uid="{00000000-0005-0000-0000-000020010000}"/>
    <cellStyle name="壞_OGC-0980729-STOLT MEGAMI-BA-GANTRADE-EUROPE" xfId="301" xr:uid="{00000000-0005-0000-0000-000021010000}"/>
    <cellStyle name="壞_OGC-0980863-A-SAMHO SAPPHIRE-DEG-DELTEC" xfId="135" xr:uid="{00000000-0005-0000-0000-000022010000}"/>
    <cellStyle name="壞_OGC-0980917-STOLT INNOVATION-BA-GANTRAE EUROPE" xfId="302" xr:uid="{00000000-0005-0000-0000-000023010000}"/>
    <cellStyle name="壞_OGC-0981048-SUNNY DREAM-DEG-DELTEC" xfId="136" xr:uid="{00000000-0005-0000-0000-000024010000}"/>
    <cellStyle name="壞_OGC-0981068-SETYAWATI-MEG-KINTU" xfId="137" xr:uid="{00000000-0005-0000-0000-000025010000}"/>
    <cellStyle name="壞_OGC-0981073 MOUNTAIN BLOSSOM-SODA-BCS-20090903" xfId="219" xr:uid="{00000000-0005-0000-0000-000026010000}"/>
    <cellStyle name="壞_OGC-0981170-WOO HYEON-AN-FPC" xfId="220" xr:uid="{00000000-0005-0000-0000-000027010000}"/>
    <cellStyle name="壞_OGC-0981216-CHEMROUTE BRILLIANT-PHENOL-FCFC" xfId="303" xr:uid="{00000000-0005-0000-0000-000028010000}"/>
    <cellStyle name="壞_OGC-0981310-GLOBAL CHALLENGE-PHENOL-FCFC" xfId="304" xr:uid="{00000000-0005-0000-0000-000029010000}"/>
    <cellStyle name="壞_OGC-0981323-ACACIA-BA-FPC" xfId="257" xr:uid="{00000000-0005-0000-0000-00002A010000}"/>
    <cellStyle name="壞_OGC-0981371 BOW DE FENG-MEG-ITOCC-20091122" xfId="221" xr:uid="{00000000-0005-0000-0000-00002B010000}"/>
    <cellStyle name="壞_OGC-0981570-NO.2 HEUNG-A PIONEER-PHENOL-FCFC" xfId="305" xr:uid="{00000000-0005-0000-0000-00002C010000}"/>
    <cellStyle name="壞_OGC-1080032-AGILITY-BA-FPC" xfId="258" xr:uid="{00000000-0005-0000-0000-00002D010000}"/>
    <cellStyle name="壞_OGC-1080050 NEW MIGHTY-BASE OIL 150N-WINSON-20100202" xfId="222" xr:uid="{00000000-0005-0000-0000-00002E010000}"/>
    <cellStyle name="壞_OGC-1080207 B-CAPRIOLE-BA (FPC) 2010 02 18" xfId="259" xr:uid="{00000000-0005-0000-0000-00002F010000}"/>
    <cellStyle name="壞_OGC-1080207A-CAPRIOLE-BA-FPC" xfId="260" xr:uid="{00000000-0005-0000-0000-000030010000}"/>
    <cellStyle name="壞_OGC-1080207B-CAPRIOLE-BA-FPC" xfId="261" xr:uid="{00000000-0005-0000-0000-000031010000}"/>
    <cellStyle name="壞_OGC-1080304-ORIENTAL ROSE-BA-FPC" xfId="262" xr:uid="{00000000-0005-0000-0000-000032010000}"/>
    <cellStyle name="壞_OGC-1080444-ERRIA IDA-BA-FPC" xfId="263" xr:uid="{00000000-0005-0000-0000-000033010000}"/>
    <cellStyle name="壞_OGC-1080851-GINGA CHEETAH-BA-FPC" xfId="264" xr:uid="{00000000-0005-0000-0000-000034010000}"/>
    <cellStyle name="壞_OGC-1080974-GLOBAL MOON-BA-FPC" xfId="265" xr:uid="{00000000-0005-0000-0000-000035010000}"/>
    <cellStyle name="壞_OGC-1081150-GINGA COUGAR-PHENOL-FCFC" xfId="306" xr:uid="{00000000-0005-0000-0000-000036010000}"/>
    <cellStyle name="壞_OGC-1081223-CRANE PLANET-ACETONE-LENSO" xfId="307" xr:uid="{00000000-0005-0000-0000-000037010000}"/>
    <cellStyle name="壞_OGC-1081293-KY VENUS-PHENOL-FCFC" xfId="308" xr:uid="{00000000-0005-0000-0000-000038010000}"/>
    <cellStyle name="壞_OGC-1180163 NAKSKOV MAERSK-llGASOIL 0.05%S-TOTSA" xfId="223" xr:uid="{00000000-0005-0000-0000-000039010000}"/>
    <cellStyle name="壞_OGC-1180219-MALHARI-PHENOL-FCFC" xfId="309" xr:uid="{00000000-0005-0000-0000-00003A010000}"/>
    <cellStyle name="壞_OGC-1180255-ORIENTAL ROSE-BA-FPC" xfId="266" xr:uid="{00000000-0005-0000-0000-00003B010000}"/>
    <cellStyle name="壞_OGC-1180628-CAPRIOLE-BA-FPC" xfId="267" xr:uid="{00000000-0005-0000-0000-00003C010000}"/>
    <cellStyle name="壞_OGC-1180680-BOW MATE-AN-FPC" xfId="224" xr:uid="{00000000-0005-0000-0000-00003D010000}"/>
    <cellStyle name="壞_OGC-1180696-NEELAMBARI-PHENOL-FCFC" xfId="310" xr:uid="{00000000-0005-0000-0000-00003E010000}"/>
    <cellStyle name="壞_OGC-1180721-CHEMSTAR-BA-FPC" xfId="268" xr:uid="{00000000-0005-0000-0000-00003F010000}"/>
    <cellStyle name="壞_OGC-1180793-ROYAL PERIDOT-PHENOL-FCFC" xfId="311" xr:uid="{00000000-0005-0000-0000-000040010000}"/>
    <cellStyle name="壞_OGC-1180832-AS OMARIA-BA-FPC" xfId="269" xr:uid="{00000000-0005-0000-0000-000041010000}"/>
    <cellStyle name="壞_OGC-1180841-GOLDEN DOMINANCE-ACETONE-CHEMNEWS(IRAN)" xfId="312" xr:uid="{00000000-0005-0000-0000-000042010000}"/>
    <cellStyle name="壞_OGC-1180853-CONSTANCY-PHENOL-SUMITOMO" xfId="313" xr:uid="{00000000-0005-0000-0000-000043010000}"/>
    <cellStyle name="壞_OGC-1180907-CRANE PLANET-BA-FPC" xfId="270" xr:uid="{00000000-0005-0000-0000-000044010000}"/>
    <cellStyle name="壞_OGC-1180922-CAPRIOLE-PHENOL-FCFC" xfId="314" xr:uid="{00000000-0005-0000-0000-000045010000}"/>
    <cellStyle name="壞_OGC-1180932-CAPRIOLE-PHENOL-CHEMNEWS(IRAN)" xfId="315" xr:uid="{00000000-0005-0000-0000-000046010000}"/>
    <cellStyle name="壞_OGC-1180955B-DL CLOVER-BA-FPC" xfId="271" xr:uid="{00000000-0005-0000-0000-000047010000}"/>
    <cellStyle name="壞_OGC-1181005-KY VENUS-PHENOL-FCFC" xfId="316" xr:uid="{00000000-0005-0000-0000-000048010000}"/>
    <cellStyle name="壞_OGC-1181051-DL VIOLET-BA-FPC" xfId="272" xr:uid="{00000000-0005-0000-0000-000049010000}"/>
    <cellStyle name="壞_P 數量" xfId="273" xr:uid="{00000000-0005-0000-0000-00004A010000}"/>
    <cellStyle name="壞_P 數量 2010 05 01" xfId="225" xr:uid="{00000000-0005-0000-0000-00004B010000}"/>
    <cellStyle name="壞_P 驗艙 2010 05 01" xfId="274" xr:uid="{00000000-0005-0000-0000-00004C010000}"/>
    <cellStyle name="壞_P 驗艙 甲板驗" xfId="275" xr:uid="{00000000-0005-0000-0000-00004D010000}"/>
    <cellStyle name="壞_SODA TRICON 2010 04 01" xfId="276" xr:uid="{00000000-0005-0000-0000-00004E010000}"/>
    <cellStyle name="壞_UPDATE1_-OGC_1081248-NORD_INDEPENDENCE-GASOLINE_93-VITOL" xfId="226" xr:uid="{00000000-0005-0000-0000-00004F010000}"/>
    <cellStyle name="壞_UPDATES OGC-0980252 AN YUN (MTBE)-CPC" xfId="138" xr:uid="{00000000-0005-0000-0000-000050010000}"/>
    <cellStyle name="壞_UPDATES OGC-0980295 FORMOSA FOUR(MTBE)-CPC" xfId="139" xr:uid="{00000000-0005-0000-0000-000051010000}"/>
    <cellStyle name="壞_UPDATES OGC-0981391 SC GUANGZHOU(BASE OIL 150N)-CHAMPOIL" xfId="227" xr:uid="{00000000-0005-0000-0000-000052010000}"/>
    <cellStyle name="壞_UPDATES OGC-1080221-SC VENUS(BASE OIL150N)" xfId="228" xr:uid="{00000000-0005-0000-0000-000053010000}"/>
    <cellStyle name="壞_UPDATES OGC-1080222-SC VENUS(BASE OIL500N)" xfId="229" xr:uid="{00000000-0005-0000-0000-000054010000}"/>
    <cellStyle name="壞_UPDATES_OGC-0980134_GINGA_PHOENIX_(MTBE)(1)" xfId="230" xr:uid="{00000000-0005-0000-0000-000055010000}"/>
    <cellStyle name="壞_VINASHIN VICTORY(1) 93 OGC-0980238 MARCH-03-2009" xfId="140" xr:uid="{00000000-0005-0000-0000-000056010000}"/>
    <cellStyle name="壞_工作日誌991206" xfId="141" xr:uid="{00000000-0005-0000-0000-000057010000}"/>
    <cellStyle name="壞_母檔" xfId="142" xr:uid="{00000000-0005-0000-0000-000058010000}"/>
    <cellStyle name="壞_母檔 2009 02 27" xfId="21" xr:uid="{00000000-0005-0000-0000-000059010000}"/>
    <cellStyle name="警告文本" xfId="143" xr:uid="{00000000-0005-0000-0000-00005A010000}"/>
  </cellStyles>
  <dxfs count="0"/>
  <tableStyles count="0" defaultTableStyle="TableStyleMedium9" defaultPivotStyle="PivotStyleLight16"/>
  <colors>
    <mruColors>
      <color rgb="FF0000CC"/>
      <color rgb="FFFFFF99"/>
      <color rgb="FFFFFFCC"/>
      <color rgb="FF008000"/>
      <color rgb="FF669900"/>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17/06/relationships/rdRichValueStructure" Target="richData/rdrichvaluestructure.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17/06/relationships/rdRichValue" Target="richData/rdrichvalue.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3.jpeg"/></Relationships>
</file>

<file path=xl/drawings/_rels/drawing3.xml.rels><?xml version="1.0" encoding="UTF-8" standalone="yes"?>
<Relationships xmlns="http://schemas.openxmlformats.org/package/2006/relationships"><Relationship Id="rId1" Type="http://schemas.openxmlformats.org/officeDocument/2006/relationships/image" Target="../media/image3.jpeg"/></Relationships>
</file>

<file path=xl/drawings/_rels/drawing4.xml.rels><?xml version="1.0" encoding="UTF-8" standalone="yes"?>
<Relationships xmlns="http://schemas.openxmlformats.org/package/2006/relationships"><Relationship Id="rId1" Type="http://schemas.openxmlformats.org/officeDocument/2006/relationships/image" Target="../media/image3.jpeg"/></Relationships>
</file>

<file path=xl/drawings/_rels/drawing6.xml.rels><?xml version="1.0" encoding="UTF-8" standalone="yes"?>
<Relationships xmlns="http://schemas.openxmlformats.org/package/2006/relationships"><Relationship Id="rId1" Type="http://schemas.openxmlformats.org/officeDocument/2006/relationships/image" Target="../media/image4.jpeg"/></Relationships>
</file>

<file path=xl/drawings/_rels/drawing7.x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0</xdr:rowOff>
    </xdr:from>
    <xdr:ext cx="1524750" cy="749650"/>
    <xdr:pic>
      <xdr:nvPicPr>
        <xdr:cNvPr id="2" name="Picture 82" descr="sgs30mm">
          <a:extLst>
            <a:ext uri="{FF2B5EF4-FFF2-40B4-BE49-F238E27FC236}">
              <a16:creationId xmlns:a16="http://schemas.microsoft.com/office/drawing/2014/main" id="{43E91AEF-16DE-425B-B804-A44F2B9363F6}"/>
            </a:ext>
          </a:extLst>
        </xdr:cNvPr>
        <xdr:cNvPicPr>
          <a:picLocks noChangeArrowheads="1"/>
        </xdr:cNvPicPr>
      </xdr:nvPicPr>
      <xdr:blipFill>
        <a:blip xmlns:r="http://schemas.openxmlformats.org/officeDocument/2006/relationships" r:embed="rId1" cstate="print">
          <a:lum bright="-6000" contrast="12000"/>
        </a:blip>
        <a:srcRect/>
        <a:stretch>
          <a:fillRect/>
        </a:stretch>
      </xdr:blipFill>
      <xdr:spPr bwMode="auto">
        <a:xfrm>
          <a:off x="0" y="0"/>
          <a:ext cx="1524750" cy="749650"/>
        </a:xfrm>
        <a:prstGeom prst="rect">
          <a:avLst/>
        </a:prstGeom>
        <a:noFill/>
        <a:ln w="9525">
          <a:noFill/>
          <a:miter lim="800000"/>
          <a:headEnd/>
          <a:tailEnd/>
        </a:ln>
      </xdr:spPr>
    </xdr:pic>
    <xdr:clientData/>
  </xdr:oneCellAnchor>
</xdr:wsDr>
</file>

<file path=xl/drawings/drawing2.xml><?xml version="1.0" encoding="utf-8"?>
<xdr:wsDr xmlns:xdr="http://schemas.openxmlformats.org/drawingml/2006/spreadsheetDrawing" xmlns:a="http://schemas.openxmlformats.org/drawingml/2006/main">
  <xdr:twoCellAnchor editAs="oneCell">
    <xdr:from>
      <xdr:col>0</xdr:col>
      <xdr:colOff>44450</xdr:colOff>
      <xdr:row>0</xdr:row>
      <xdr:rowOff>57150</xdr:rowOff>
    </xdr:from>
    <xdr:to>
      <xdr:col>6</xdr:col>
      <xdr:colOff>74930</xdr:colOff>
      <xdr:row>2</xdr:row>
      <xdr:rowOff>220599</xdr:rowOff>
    </xdr:to>
    <xdr:pic>
      <xdr:nvPicPr>
        <xdr:cNvPr id="2" name="圖片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57150"/>
          <a:ext cx="1570355" cy="71589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44450</xdr:colOff>
      <xdr:row>0</xdr:row>
      <xdr:rowOff>57150</xdr:rowOff>
    </xdr:from>
    <xdr:to>
      <xdr:col>6</xdr:col>
      <xdr:colOff>151130</xdr:colOff>
      <xdr:row>3</xdr:row>
      <xdr:rowOff>172974</xdr:rowOff>
    </xdr:to>
    <xdr:pic>
      <xdr:nvPicPr>
        <xdr:cNvPr id="2" name="圖片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4450" y="57150"/>
          <a:ext cx="1554480" cy="72542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44450</xdr:colOff>
      <xdr:row>0</xdr:row>
      <xdr:rowOff>57150</xdr:rowOff>
    </xdr:from>
    <xdr:to>
      <xdr:col>6</xdr:col>
      <xdr:colOff>189230</xdr:colOff>
      <xdr:row>3</xdr:row>
      <xdr:rowOff>172974</xdr:rowOff>
    </xdr:to>
    <xdr:pic>
      <xdr:nvPicPr>
        <xdr:cNvPr id="2" name="圖片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4450" y="57150"/>
          <a:ext cx="1554480" cy="72542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104775</xdr:colOff>
          <xdr:row>3</xdr:row>
          <xdr:rowOff>47625</xdr:rowOff>
        </xdr:from>
        <xdr:to>
          <xdr:col>29</xdr:col>
          <xdr:colOff>371475</xdr:colOff>
          <xdr:row>6</xdr:row>
          <xdr:rowOff>9525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600-0000011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zh-TW" altLang="en-US" sz="2400" b="0" i="0" u="none" strike="noStrike" baseline="0">
                  <a:solidFill>
                    <a:srgbClr val="000000"/>
                  </a:solidFill>
                  <a:latin typeface="新細明體"/>
                  <a:ea typeface="新細明體"/>
                </a:rPr>
                <a:t>Create Report</a:t>
              </a:r>
              <a:endParaRPr lang="zh-TW" altLang="en-US" sz="1100" b="0" i="0" u="none" strike="noStrike" baseline="0">
                <a:solidFill>
                  <a:srgbClr val="000000"/>
                </a:solidFill>
                <a:latin typeface="新細明體"/>
                <a:ea typeface="新細明體"/>
              </a:endParaRPr>
            </a:p>
            <a:p>
              <a:pPr algn="ctr" rtl="0">
                <a:defRPr sz="1000"/>
              </a:pPr>
              <a:endParaRPr lang="zh-TW" altLang="en-US" sz="1100" b="0" i="0" u="none" strike="noStrike" baseline="0">
                <a:solidFill>
                  <a:srgbClr val="000000"/>
                </a:solidFill>
                <a:latin typeface="新細明體"/>
                <a:ea typeface="新細明體"/>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95250</xdr:colOff>
          <xdr:row>0</xdr:row>
          <xdr:rowOff>123825</xdr:rowOff>
        </xdr:from>
        <xdr:to>
          <xdr:col>25</xdr:col>
          <xdr:colOff>1181100</xdr:colOff>
          <xdr:row>2</xdr:row>
          <xdr:rowOff>123825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6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100" b="0" i="0" u="none" strike="noStrike" baseline="0">
                  <a:solidFill>
                    <a:srgbClr val="000000"/>
                  </a:solidFill>
                  <a:latin typeface="新細明體"/>
                  <a:ea typeface="新細明體"/>
                </a:rPr>
                <a:t>自動隱藏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104775</xdr:colOff>
          <xdr:row>6</xdr:row>
          <xdr:rowOff>485775</xdr:rowOff>
        </xdr:from>
        <xdr:to>
          <xdr:col>29</xdr:col>
          <xdr:colOff>371475</xdr:colOff>
          <xdr:row>9</xdr:row>
          <xdr:rowOff>85725</xdr:rowOff>
        </xdr:to>
        <xdr:sp macro="" textlink="">
          <xdr:nvSpPr>
            <xdr:cNvPr id="7174" name="Button 6" hidden="1">
              <a:extLst>
                <a:ext uri="{63B3BB69-23CF-44E3-9099-C40C66FF867C}">
                  <a14:compatExt spid="_x0000_s7174"/>
                </a:ext>
                <a:ext uri="{FF2B5EF4-FFF2-40B4-BE49-F238E27FC236}">
                  <a16:creationId xmlns:a16="http://schemas.microsoft.com/office/drawing/2014/main" id="{00000000-0008-0000-0600-0000061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zh-TW" altLang="en-US" sz="2400" b="0" i="0" u="none" strike="noStrike" baseline="0">
                  <a:solidFill>
                    <a:srgbClr val="000000"/>
                  </a:solidFill>
                  <a:latin typeface="新細明體"/>
                  <a:ea typeface="新細明體"/>
                </a:rPr>
                <a:t>Print PDF</a:t>
              </a:r>
              <a:endParaRPr lang="zh-TW" altLang="en-US" sz="1100" b="0" i="0" u="none" strike="noStrike" baseline="0">
                <a:solidFill>
                  <a:srgbClr val="000000"/>
                </a:solidFill>
                <a:latin typeface="新細明體"/>
                <a:ea typeface="新細明體"/>
              </a:endParaRPr>
            </a:p>
            <a:p>
              <a:pPr algn="ctr" rtl="0">
                <a:defRPr sz="1000"/>
              </a:pPr>
              <a:endParaRPr lang="zh-TW" altLang="en-US" sz="1100" b="0" i="0" u="none" strike="noStrike" baseline="0">
                <a:solidFill>
                  <a:srgbClr val="000000"/>
                </a:solidFill>
                <a:latin typeface="新細明體"/>
                <a:ea typeface="新細明體"/>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238875</xdr:colOff>
      <xdr:row>3</xdr:row>
      <xdr:rowOff>70200</xdr:rowOff>
    </xdr:to>
    <xdr:pic>
      <xdr:nvPicPr>
        <xdr:cNvPr id="3" name="Picture 8" descr="Corporate_BLK">
          <a:extLst>
            <a:ext uri="{FF2B5EF4-FFF2-40B4-BE49-F238E27FC236}">
              <a16:creationId xmlns:a16="http://schemas.microsoft.com/office/drawing/2014/main" id="{00000000-0008-0000-0700-000003000000}"/>
            </a:ext>
          </a:extLst>
        </xdr:cNvPr>
        <xdr:cNvPicPr>
          <a:picLocks noChangeArrowheads="1"/>
        </xdr:cNvPicPr>
      </xdr:nvPicPr>
      <xdr:blipFill>
        <a:blip xmlns:r="http://schemas.openxmlformats.org/officeDocument/2006/relationships" r:embed="rId1" cstate="print"/>
        <a:srcRect/>
        <a:stretch>
          <a:fillRect/>
        </a:stretch>
      </xdr:blipFill>
      <xdr:spPr bwMode="auto">
        <a:xfrm>
          <a:off x="0" y="0"/>
          <a:ext cx="1620000" cy="756000"/>
        </a:xfrm>
        <a:prstGeom prst="rect">
          <a:avLst/>
        </a:prstGeom>
        <a:noFill/>
        <a:ln w="9525">
          <a:noFill/>
          <a:miter lim="800000"/>
          <a:headEnd/>
          <a:tailEnd/>
        </a:ln>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238875</xdr:colOff>
      <xdr:row>3</xdr:row>
      <xdr:rowOff>70200</xdr:rowOff>
    </xdr:to>
    <xdr:pic>
      <xdr:nvPicPr>
        <xdr:cNvPr id="3" name="Picture 8" descr="Corporate_BLK">
          <a:extLst>
            <a:ext uri="{FF2B5EF4-FFF2-40B4-BE49-F238E27FC236}">
              <a16:creationId xmlns:a16="http://schemas.microsoft.com/office/drawing/2014/main" id="{00000000-0008-0000-0800-000003000000}"/>
            </a:ext>
          </a:extLst>
        </xdr:cNvPr>
        <xdr:cNvPicPr>
          <a:picLocks noChangeArrowheads="1"/>
        </xdr:cNvPicPr>
      </xdr:nvPicPr>
      <xdr:blipFill>
        <a:blip xmlns:r="http://schemas.openxmlformats.org/officeDocument/2006/relationships" r:embed="rId1" cstate="print"/>
        <a:srcRect/>
        <a:stretch>
          <a:fillRect/>
        </a:stretch>
      </xdr:blipFill>
      <xdr:spPr bwMode="auto">
        <a:xfrm>
          <a:off x="0" y="0"/>
          <a:ext cx="1620000" cy="756000"/>
        </a:xfrm>
        <a:prstGeom prst="rect">
          <a:avLst/>
        </a:prstGeom>
        <a:noFill/>
        <a:ln w="9525">
          <a:noFill/>
          <a:miter lim="800000"/>
          <a:headEnd/>
          <a:tailEnd/>
        </a:ln>
      </xdr:spPr>
    </xdr:pic>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1</v>
  </rv>
  <rv s="1">
    <v>13</v>
    <v>3</v>
  </rv>
</rvData>
</file>

<file path=xl/richData/rdrichvaluestructure.xml><?xml version="1.0" encoding="utf-8"?>
<rvStructures xmlns="http://schemas.microsoft.com/office/spreadsheetml/2017/richdata" count="2">
  <s t="_error">
    <k n="errorType" t="i"/>
    <k n="propagated" t="b"/>
  </s>
  <s t="_error">
    <k n="errorType" t="i"/>
    <k n="subType" t="i"/>
  </s>
</rvStructures>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7D69F2-BB97-427B-87DA-528BE7C9CA58}">
  <sheetPr>
    <tabColor rgb="FF7030A0"/>
  </sheetPr>
  <dimension ref="A1:AG76"/>
  <sheetViews>
    <sheetView view="pageBreakPreview" zoomScaleNormal="100" zoomScaleSheetLayoutView="100" zoomScalePageLayoutView="115" workbookViewId="0">
      <selection activeCell="M32" sqref="M32"/>
    </sheetView>
  </sheetViews>
  <sheetFormatPr defaultColWidth="9" defaultRowHeight="13.5" customHeight="1"/>
  <cols>
    <col min="1" max="98" width="3.625" style="217" customWidth="1"/>
    <col min="99" max="16384" width="9" style="217"/>
  </cols>
  <sheetData>
    <row r="1" spans="1:33" ht="18" customHeight="1">
      <c r="A1" s="218"/>
      <c r="B1" s="218"/>
      <c r="C1" s="218"/>
      <c r="D1" s="218"/>
      <c r="E1" s="218"/>
      <c r="F1" s="218"/>
      <c r="H1" s="218"/>
      <c r="I1" s="245" t="s">
        <v>648</v>
      </c>
      <c r="J1" s="218"/>
      <c r="K1" s="218"/>
      <c r="L1" s="218"/>
      <c r="M1" s="218"/>
      <c r="N1" s="218"/>
      <c r="O1" s="218"/>
      <c r="P1" s="218"/>
      <c r="Q1" s="218"/>
      <c r="S1" s="218"/>
      <c r="U1" s="244"/>
      <c r="V1" s="218"/>
      <c r="W1" s="218"/>
      <c r="Y1" s="218"/>
    </row>
    <row r="2" spans="1:33" ht="18" customHeight="1">
      <c r="A2" s="218"/>
      <c r="B2" s="218"/>
      <c r="C2" s="218"/>
      <c r="D2" s="218"/>
      <c r="E2" s="218"/>
      <c r="F2" s="218"/>
      <c r="G2" s="218"/>
      <c r="H2" s="218"/>
      <c r="I2" s="221" t="s">
        <v>647</v>
      </c>
      <c r="J2" s="218"/>
      <c r="K2" s="218"/>
      <c r="L2" s="218"/>
      <c r="M2" s="218"/>
      <c r="N2" s="218"/>
      <c r="O2" s="218"/>
      <c r="P2" s="218"/>
      <c r="Q2" s="218"/>
      <c r="S2" s="218"/>
      <c r="U2" s="244"/>
      <c r="V2" s="218"/>
      <c r="W2" s="218"/>
      <c r="X2" s="218"/>
      <c r="Y2" s="218"/>
    </row>
    <row r="3" spans="1:33" ht="18" customHeight="1">
      <c r="A3" s="218"/>
      <c r="B3" s="218"/>
      <c r="C3" s="218"/>
      <c r="D3" s="218"/>
      <c r="E3" s="218"/>
      <c r="F3" s="218"/>
      <c r="G3" s="218"/>
      <c r="H3" s="218"/>
      <c r="I3" s="218"/>
      <c r="J3" s="218"/>
      <c r="K3" s="218"/>
      <c r="L3" s="218"/>
      <c r="M3" s="218"/>
      <c r="N3" s="218"/>
      <c r="O3" s="218"/>
      <c r="P3" s="218"/>
      <c r="Q3" s="218"/>
      <c r="R3" s="218"/>
      <c r="S3" s="218"/>
      <c r="T3" s="218"/>
      <c r="V3" s="218"/>
      <c r="W3" s="218"/>
      <c r="X3" s="218"/>
      <c r="Y3" s="218"/>
      <c r="AA3" s="243"/>
      <c r="AB3" s="243"/>
      <c r="AC3" s="243"/>
      <c r="AD3" s="243"/>
      <c r="AE3" s="243"/>
      <c r="AF3" s="243"/>
    </row>
    <row r="4" spans="1:33" ht="18" customHeight="1">
      <c r="A4" s="218"/>
      <c r="B4" s="218"/>
      <c r="C4" s="218"/>
      <c r="D4" s="218"/>
      <c r="E4" s="218"/>
      <c r="F4" s="218"/>
      <c r="G4" s="218"/>
      <c r="H4" s="218"/>
      <c r="I4" s="218"/>
      <c r="J4" s="218"/>
      <c r="K4" s="218"/>
      <c r="L4" s="218"/>
      <c r="M4" s="218"/>
      <c r="N4" s="218"/>
      <c r="O4" s="218"/>
      <c r="P4" s="218"/>
      <c r="Q4" s="218"/>
      <c r="R4" s="218"/>
      <c r="S4" s="218"/>
      <c r="T4" s="218"/>
      <c r="U4" s="218"/>
      <c r="V4" s="218"/>
      <c r="W4" s="218"/>
      <c r="X4" s="218"/>
      <c r="Y4" s="218"/>
      <c r="AA4" s="242"/>
      <c r="AB4" s="242"/>
      <c r="AC4" s="242"/>
      <c r="AD4" s="242"/>
      <c r="AE4" s="242"/>
      <c r="AF4" s="242"/>
    </row>
    <row r="5" spans="1:33" ht="18" customHeight="1">
      <c r="A5" s="241" t="s">
        <v>646</v>
      </c>
      <c r="B5" s="218"/>
      <c r="C5" s="218"/>
      <c r="D5" s="218"/>
      <c r="E5" s="218"/>
      <c r="F5" s="218"/>
      <c r="G5" s="218"/>
      <c r="H5" s="218"/>
      <c r="I5" s="218"/>
      <c r="J5" s="218"/>
      <c r="K5" s="218"/>
      <c r="L5" s="218"/>
      <c r="M5" s="218"/>
      <c r="N5" s="218"/>
      <c r="O5" s="218"/>
      <c r="P5" s="218"/>
      <c r="Q5" s="218"/>
      <c r="R5" s="218"/>
      <c r="S5" s="218"/>
      <c r="T5" s="218"/>
      <c r="U5" s="218"/>
      <c r="V5" s="218"/>
      <c r="W5" s="218"/>
      <c r="X5" s="218"/>
      <c r="Y5" s="218"/>
      <c r="AA5" s="240"/>
    </row>
    <row r="6" spans="1:33" ht="15.95" customHeight="1">
      <c r="A6" s="218"/>
      <c r="B6" s="218"/>
      <c r="C6" s="218"/>
      <c r="D6" s="218"/>
      <c r="E6" s="218"/>
      <c r="F6" s="218"/>
      <c r="G6" s="218"/>
      <c r="H6" s="218"/>
      <c r="I6" s="218"/>
      <c r="J6" s="218"/>
      <c r="K6" s="218"/>
      <c r="L6" s="218"/>
      <c r="M6" s="218"/>
      <c r="N6" s="218"/>
      <c r="O6" s="218"/>
      <c r="P6" s="218"/>
      <c r="Q6" s="218"/>
      <c r="R6" s="218"/>
      <c r="S6" s="218"/>
      <c r="T6" s="218"/>
      <c r="U6" s="218"/>
      <c r="V6" s="218"/>
      <c r="W6" s="218"/>
      <c r="X6" s="218"/>
      <c r="Y6" s="218"/>
      <c r="AA6" s="240"/>
    </row>
    <row r="7" spans="1:33" ht="15.95" customHeight="1">
      <c r="A7" s="222" t="s">
        <v>645</v>
      </c>
      <c r="C7" s="218"/>
      <c r="D7" s="218"/>
      <c r="E7" s="218"/>
      <c r="F7" s="218"/>
      <c r="G7" s="218"/>
      <c r="H7" s="218"/>
      <c r="I7" s="218"/>
      <c r="J7" s="218"/>
      <c r="K7" s="218"/>
      <c r="L7" s="218"/>
      <c r="M7" s="218"/>
      <c r="N7" s="218"/>
      <c r="O7" s="218"/>
      <c r="P7" s="218"/>
      <c r="Q7" s="218"/>
      <c r="R7" s="218"/>
      <c r="S7" s="218"/>
      <c r="T7" s="218"/>
      <c r="U7" s="218"/>
      <c r="V7" s="218"/>
      <c r="W7" s="218"/>
      <c r="X7" s="218"/>
      <c r="Y7" s="218"/>
      <c r="AA7" s="239"/>
      <c r="AB7" s="239"/>
      <c r="AC7" s="239"/>
      <c r="AD7" s="239"/>
      <c r="AE7" s="239"/>
      <c r="AF7" s="239"/>
      <c r="AG7" s="239"/>
    </row>
    <row r="8" spans="1:33" ht="15.95" customHeight="1">
      <c r="A8" s="220">
        <v>1</v>
      </c>
      <c r="B8" s="218" t="s">
        <v>644</v>
      </c>
      <c r="C8" s="218"/>
      <c r="D8" s="218"/>
      <c r="E8" s="218"/>
      <c r="F8" s="218"/>
      <c r="G8" s="218"/>
      <c r="H8" s="218"/>
      <c r="I8" s="218"/>
      <c r="J8" s="218"/>
      <c r="K8" s="218"/>
      <c r="L8" s="218"/>
      <c r="M8" s="218"/>
      <c r="N8" s="218"/>
      <c r="O8" s="218"/>
      <c r="P8" s="218"/>
      <c r="Q8" s="218"/>
      <c r="R8" s="218"/>
      <c r="S8" s="218"/>
      <c r="T8" s="218"/>
      <c r="U8" s="218"/>
      <c r="V8" s="218"/>
      <c r="W8" s="218"/>
      <c r="X8" s="218"/>
      <c r="Y8" s="218"/>
    </row>
    <row r="9" spans="1:33" ht="15.95" customHeight="1">
      <c r="A9" s="218"/>
      <c r="B9" s="218"/>
      <c r="C9" s="218"/>
      <c r="D9" s="218"/>
      <c r="E9" s="218"/>
      <c r="F9" s="238"/>
      <c r="G9" s="238"/>
      <c r="H9" s="238"/>
      <c r="I9" s="238"/>
      <c r="J9" s="238"/>
      <c r="K9" s="238"/>
      <c r="L9" s="238"/>
      <c r="M9" s="238"/>
      <c r="N9" s="238"/>
      <c r="O9" s="238"/>
      <c r="P9" s="230"/>
      <c r="Q9" s="230"/>
      <c r="R9" s="230"/>
      <c r="S9" s="230"/>
      <c r="T9" s="230"/>
      <c r="U9" s="237"/>
      <c r="V9" s="237"/>
      <c r="W9" s="237"/>
      <c r="X9" s="237"/>
      <c r="Y9" s="237"/>
    </row>
    <row r="10" spans="1:33" ht="15.95" customHeight="1">
      <c r="A10" s="222" t="s">
        <v>643</v>
      </c>
      <c r="B10" s="218"/>
      <c r="C10" s="218"/>
      <c r="D10" s="218"/>
      <c r="E10" s="218"/>
      <c r="F10" s="218"/>
      <c r="G10" s="218"/>
      <c r="H10" s="218"/>
      <c r="I10" s="218"/>
      <c r="J10" s="218"/>
      <c r="K10" s="218"/>
      <c r="L10" s="218"/>
      <c r="M10" s="218"/>
      <c r="N10" s="218"/>
      <c r="O10" s="218"/>
      <c r="P10" s="218"/>
      <c r="Q10" s="218"/>
      <c r="R10" s="218"/>
      <c r="S10" s="237"/>
      <c r="T10" s="237"/>
      <c r="U10" s="237"/>
      <c r="V10" s="237"/>
      <c r="W10" s="237"/>
      <c r="X10" s="218"/>
      <c r="Y10" s="218"/>
    </row>
    <row r="11" spans="1:33" ht="15.95" customHeight="1">
      <c r="A11" s="220" t="s">
        <v>608</v>
      </c>
      <c r="B11" s="218" t="s">
        <v>642</v>
      </c>
      <c r="C11" s="218"/>
      <c r="D11" s="218"/>
      <c r="E11" s="218"/>
      <c r="F11" s="218"/>
      <c r="G11" s="218"/>
      <c r="H11" s="218"/>
      <c r="I11" s="218"/>
      <c r="J11" s="218"/>
      <c r="K11" s="218"/>
      <c r="L11" s="218"/>
      <c r="M11" s="218"/>
      <c r="N11" s="218"/>
      <c r="O11" s="218"/>
      <c r="P11" s="218"/>
      <c r="Q11" s="218"/>
      <c r="R11" s="218"/>
      <c r="S11" s="218"/>
      <c r="T11" s="218"/>
      <c r="U11" s="218"/>
      <c r="V11" s="218"/>
      <c r="W11" s="218"/>
      <c r="X11" s="218"/>
      <c r="Y11" s="218"/>
    </row>
    <row r="12" spans="1:33" ht="15.95" customHeight="1">
      <c r="A12" s="220" t="s">
        <v>606</v>
      </c>
      <c r="B12" s="218" t="s">
        <v>641</v>
      </c>
      <c r="C12" s="218"/>
      <c r="D12" s="218"/>
      <c r="E12" s="218"/>
      <c r="F12" s="218"/>
      <c r="G12" s="218"/>
      <c r="H12" s="218"/>
      <c r="I12" s="218"/>
      <c r="J12" s="218"/>
      <c r="K12" s="218"/>
      <c r="L12" s="218"/>
      <c r="M12" s="218"/>
      <c r="N12" s="218"/>
      <c r="O12" s="218"/>
      <c r="P12" s="218"/>
      <c r="Q12" s="218"/>
      <c r="R12" s="218"/>
      <c r="S12" s="218"/>
      <c r="T12" s="218"/>
      <c r="U12" s="218"/>
      <c r="V12" s="218"/>
      <c r="W12" s="218"/>
      <c r="X12" s="218"/>
      <c r="Y12" s="218"/>
    </row>
    <row r="13" spans="1:33" ht="15.95" customHeight="1">
      <c r="A13" s="220" t="s">
        <v>604</v>
      </c>
      <c r="B13" s="218" t="s">
        <v>640</v>
      </c>
      <c r="C13" s="218"/>
      <c r="D13" s="218"/>
      <c r="E13" s="218"/>
      <c r="F13" s="218"/>
      <c r="G13" s="218"/>
      <c r="H13" s="218"/>
      <c r="I13" s="218"/>
      <c r="J13" s="218"/>
      <c r="K13" s="218"/>
      <c r="L13" s="218"/>
      <c r="M13" s="218"/>
      <c r="N13" s="218"/>
      <c r="O13" s="218"/>
      <c r="P13" s="218"/>
      <c r="Q13" s="218"/>
      <c r="R13" s="218"/>
      <c r="S13" s="218"/>
      <c r="T13" s="218"/>
      <c r="U13" s="275" t="s">
        <v>639</v>
      </c>
      <c r="V13" s="275"/>
      <c r="W13" s="275"/>
      <c r="X13" s="275"/>
      <c r="Y13" s="275"/>
      <c r="Z13" s="275"/>
    </row>
    <row r="14" spans="1:33" ht="15.95" customHeight="1">
      <c r="A14" s="220" t="s">
        <v>602</v>
      </c>
      <c r="B14" s="236" t="s">
        <v>638</v>
      </c>
      <c r="C14" s="235"/>
      <c r="D14" s="235"/>
      <c r="E14" s="235"/>
      <c r="F14" s="235"/>
      <c r="G14" s="235"/>
      <c r="H14" s="235"/>
      <c r="I14" s="235"/>
      <c r="J14" s="235"/>
      <c r="K14" s="235"/>
      <c r="L14" s="235"/>
      <c r="M14" s="235"/>
      <c r="N14" s="235"/>
      <c r="O14" s="235"/>
      <c r="P14" s="235"/>
      <c r="Q14" s="235"/>
      <c r="R14" s="235"/>
      <c r="S14" s="235"/>
      <c r="T14" s="235"/>
      <c r="U14" s="275" t="s">
        <v>637</v>
      </c>
      <c r="V14" s="275"/>
      <c r="W14" s="275"/>
      <c r="X14" s="275"/>
      <c r="Y14" s="275"/>
      <c r="Z14" s="275"/>
    </row>
    <row r="15" spans="1:33" ht="15.95" customHeight="1">
      <c r="A15" s="220"/>
      <c r="B15" s="234"/>
      <c r="C15" s="233"/>
      <c r="D15" s="233"/>
      <c r="E15" s="233"/>
      <c r="F15" s="233"/>
      <c r="G15" s="233"/>
      <c r="H15" s="233"/>
      <c r="I15" s="233"/>
      <c r="J15" s="233"/>
      <c r="K15" s="233"/>
      <c r="L15" s="233"/>
      <c r="M15" s="233"/>
      <c r="N15" s="233"/>
      <c r="O15" s="233"/>
      <c r="P15" s="233"/>
      <c r="Q15" s="218"/>
      <c r="U15" s="275" t="s">
        <v>636</v>
      </c>
      <c r="V15" s="275"/>
      <c r="W15" s="275"/>
      <c r="X15" s="275"/>
      <c r="Y15" s="275"/>
      <c r="Z15" s="275"/>
    </row>
    <row r="16" spans="1:33" ht="15.95" customHeight="1">
      <c r="A16" s="222" t="s">
        <v>635</v>
      </c>
      <c r="B16" s="218"/>
      <c r="C16" s="218"/>
      <c r="D16" s="218"/>
      <c r="E16" s="218"/>
      <c r="F16" s="218"/>
      <c r="G16" s="218"/>
      <c r="H16" s="218"/>
      <c r="I16" s="218"/>
      <c r="J16" s="218"/>
      <c r="K16" s="218"/>
      <c r="L16" s="218"/>
      <c r="M16" s="218"/>
      <c r="N16" s="218"/>
      <c r="O16" s="218"/>
      <c r="P16" s="218"/>
      <c r="Q16" s="218"/>
      <c r="U16" s="275" t="s">
        <v>634</v>
      </c>
      <c r="V16" s="275"/>
      <c r="W16" s="275"/>
      <c r="X16" s="275"/>
      <c r="Y16" s="275"/>
      <c r="Z16" s="275"/>
    </row>
    <row r="17" spans="1:32" ht="15.95" customHeight="1">
      <c r="A17" s="220" t="s">
        <v>608</v>
      </c>
      <c r="B17" s="231" t="s">
        <v>633</v>
      </c>
      <c r="C17" s="218"/>
      <c r="D17" s="218"/>
      <c r="E17" s="218"/>
      <c r="F17" s="218"/>
      <c r="G17" s="218"/>
      <c r="H17" s="218"/>
      <c r="I17" s="218"/>
      <c r="J17" s="218"/>
      <c r="K17" s="218"/>
      <c r="L17" s="218"/>
      <c r="M17" s="218"/>
      <c r="Q17" s="218"/>
      <c r="U17" s="275" t="s">
        <v>632</v>
      </c>
      <c r="V17" s="275"/>
      <c r="W17" s="275"/>
      <c r="X17" s="275"/>
      <c r="Y17" s="275"/>
      <c r="Z17" s="275"/>
    </row>
    <row r="18" spans="1:32" ht="15.95" customHeight="1">
      <c r="A18" s="220" t="s">
        <v>606</v>
      </c>
      <c r="B18" s="231" t="s">
        <v>631</v>
      </c>
      <c r="C18" s="218"/>
      <c r="D18" s="218"/>
      <c r="E18" s="218"/>
      <c r="F18" s="218"/>
      <c r="G18" s="218"/>
      <c r="H18" s="218"/>
      <c r="I18" s="218"/>
      <c r="Q18" s="218"/>
      <c r="U18" s="275" t="s">
        <v>630</v>
      </c>
      <c r="V18" s="275"/>
      <c r="W18" s="275"/>
      <c r="X18" s="275"/>
      <c r="Y18" s="275"/>
      <c r="Z18" s="275"/>
    </row>
    <row r="19" spans="1:32" ht="15.95" customHeight="1">
      <c r="A19" s="220" t="s">
        <v>604</v>
      </c>
      <c r="B19" s="231" t="s">
        <v>629</v>
      </c>
      <c r="C19" s="218"/>
      <c r="D19" s="218"/>
      <c r="E19" s="218"/>
      <c r="F19" s="218"/>
      <c r="G19" s="218"/>
      <c r="H19" s="218"/>
      <c r="I19" s="218"/>
      <c r="J19" s="218"/>
      <c r="K19" s="230"/>
      <c r="L19" s="230"/>
      <c r="M19" s="230"/>
      <c r="N19" s="230"/>
      <c r="Q19" s="218"/>
    </row>
    <row r="20" spans="1:32" ht="15.95" customHeight="1">
      <c r="A20" s="220" t="s">
        <v>602</v>
      </c>
      <c r="B20" s="231" t="s">
        <v>628</v>
      </c>
      <c r="C20" s="218"/>
      <c r="D20" s="218"/>
      <c r="E20" s="218"/>
      <c r="F20" s="218"/>
      <c r="G20" s="218"/>
      <c r="H20" s="218"/>
      <c r="I20" s="218"/>
      <c r="J20" s="218"/>
      <c r="K20" s="218"/>
      <c r="L20" s="218"/>
      <c r="M20" s="218"/>
      <c r="Q20" s="218"/>
    </row>
    <row r="21" spans="1:32" ht="15.95" customHeight="1">
      <c r="A21" s="220" t="s">
        <v>627</v>
      </c>
      <c r="B21" s="231" t="s">
        <v>626</v>
      </c>
      <c r="C21" s="218"/>
      <c r="D21" s="218"/>
      <c r="E21" s="218"/>
      <c r="F21" s="218"/>
      <c r="G21" s="218"/>
      <c r="H21" s="218"/>
      <c r="I21" s="218"/>
      <c r="J21" s="218"/>
      <c r="K21" s="218"/>
      <c r="L21" s="218"/>
      <c r="M21" s="218"/>
      <c r="Q21" s="218"/>
    </row>
    <row r="22" spans="1:32" ht="15.95" customHeight="1">
      <c r="A22" s="220" t="s">
        <v>625</v>
      </c>
      <c r="B22" s="231" t="s">
        <v>624</v>
      </c>
      <c r="C22" s="218"/>
      <c r="D22" s="218"/>
      <c r="E22" s="218"/>
      <c r="F22" s="218"/>
      <c r="G22" s="218"/>
      <c r="H22" s="218"/>
      <c r="I22" s="218"/>
      <c r="J22" s="218"/>
      <c r="K22" s="218"/>
      <c r="L22" s="218"/>
      <c r="M22" s="218"/>
      <c r="Q22" s="218"/>
    </row>
    <row r="23" spans="1:32" ht="15.95" customHeight="1">
      <c r="A23" s="220"/>
      <c r="B23" s="232" t="s">
        <v>623</v>
      </c>
      <c r="C23" s="218"/>
      <c r="D23" s="218"/>
      <c r="E23" s="218"/>
      <c r="F23" s="218"/>
      <c r="G23" s="218"/>
      <c r="H23" s="218"/>
      <c r="I23" s="218"/>
      <c r="J23" s="218"/>
      <c r="K23" s="218"/>
      <c r="L23" s="218"/>
      <c r="M23" s="218"/>
      <c r="T23" s="218"/>
      <c r="U23" s="230"/>
      <c r="V23" s="230"/>
      <c r="W23" s="230"/>
      <c r="X23" s="230"/>
      <c r="AA23" s="218"/>
    </row>
    <row r="24" spans="1:32" ht="15.95" customHeight="1">
      <c r="A24" s="220" t="s">
        <v>622</v>
      </c>
      <c r="B24" s="231" t="s">
        <v>621</v>
      </c>
      <c r="C24" s="218"/>
      <c r="D24" s="218"/>
      <c r="E24" s="218"/>
      <c r="F24" s="218"/>
      <c r="G24" s="218"/>
      <c r="H24" s="218"/>
      <c r="I24" s="218"/>
      <c r="J24" s="218"/>
      <c r="K24" s="218"/>
      <c r="L24" s="218"/>
      <c r="M24" s="218"/>
      <c r="W24" s="230"/>
      <c r="AA24" s="218"/>
    </row>
    <row r="25" spans="1:32" ht="15.95" customHeight="1">
      <c r="A25" s="220" t="s">
        <v>620</v>
      </c>
      <c r="B25" s="274" t="s">
        <v>619</v>
      </c>
      <c r="C25" s="274"/>
      <c r="D25" s="274"/>
      <c r="E25" s="274"/>
      <c r="F25" s="274"/>
      <c r="G25" s="274"/>
      <c r="H25" s="274"/>
      <c r="I25" s="274"/>
      <c r="J25" s="274"/>
      <c r="K25" s="274"/>
      <c r="L25" s="274"/>
      <c r="M25" s="274"/>
      <c r="N25" s="274"/>
      <c r="O25" s="274"/>
      <c r="P25" s="274"/>
      <c r="Q25" s="274"/>
      <c r="R25" s="274"/>
      <c r="S25" s="274"/>
      <c r="T25" s="274"/>
      <c r="U25" s="274"/>
      <c r="V25" s="274"/>
      <c r="W25" s="274"/>
      <c r="X25" s="274"/>
      <c r="Y25" s="274"/>
      <c r="AA25" s="218"/>
      <c r="AF25" s="217" t="s">
        <v>618</v>
      </c>
    </row>
    <row r="26" spans="1:32" ht="15.95" customHeight="1">
      <c r="A26" s="220"/>
      <c r="B26" s="274"/>
      <c r="C26" s="274"/>
      <c r="D26" s="274"/>
      <c r="E26" s="274"/>
      <c r="F26" s="274"/>
      <c r="G26" s="274"/>
      <c r="H26" s="274"/>
      <c r="I26" s="274"/>
      <c r="J26" s="274"/>
      <c r="K26" s="274"/>
      <c r="L26" s="274"/>
      <c r="M26" s="274"/>
      <c r="N26" s="274"/>
      <c r="O26" s="274"/>
      <c r="P26" s="274"/>
      <c r="Q26" s="274"/>
      <c r="R26" s="274"/>
      <c r="S26" s="274"/>
      <c r="T26" s="274"/>
      <c r="U26" s="274"/>
      <c r="V26" s="274"/>
      <c r="W26" s="274"/>
      <c r="X26" s="274"/>
      <c r="Y26" s="274"/>
      <c r="AA26" s="218"/>
      <c r="AF26" s="217" t="s">
        <v>617</v>
      </c>
    </row>
    <row r="27" spans="1:32" ht="15.95" customHeight="1">
      <c r="A27" s="220" t="s">
        <v>616</v>
      </c>
      <c r="B27" s="273" t="s">
        <v>615</v>
      </c>
      <c r="C27" s="273"/>
      <c r="D27" s="273"/>
      <c r="E27" s="273"/>
      <c r="F27" s="273"/>
      <c r="G27" s="273"/>
      <c r="H27" s="273"/>
      <c r="I27" s="273"/>
      <c r="J27" s="273"/>
      <c r="K27" s="273"/>
      <c r="L27" s="273"/>
      <c r="M27" s="273"/>
      <c r="N27" s="273"/>
      <c r="O27" s="273"/>
      <c r="P27" s="273"/>
      <c r="Q27" s="273"/>
      <c r="R27" s="273"/>
      <c r="S27" s="273"/>
      <c r="T27" s="273"/>
      <c r="U27" s="273"/>
      <c r="V27" s="273"/>
      <c r="W27" s="273"/>
      <c r="X27" s="273"/>
      <c r="Y27" s="273"/>
      <c r="AA27" s="218"/>
      <c r="AF27" s="217" t="s">
        <v>614</v>
      </c>
    </row>
    <row r="28" spans="1:32" ht="15.95" customHeight="1">
      <c r="A28" s="229"/>
      <c r="B28" s="273"/>
      <c r="C28" s="273"/>
      <c r="D28" s="273"/>
      <c r="E28" s="273"/>
      <c r="F28" s="273"/>
      <c r="G28" s="273"/>
      <c r="H28" s="273"/>
      <c r="I28" s="273"/>
      <c r="J28" s="273"/>
      <c r="K28" s="273"/>
      <c r="L28" s="273"/>
      <c r="M28" s="273"/>
      <c r="N28" s="273"/>
      <c r="O28" s="273"/>
      <c r="P28" s="273"/>
      <c r="Q28" s="273"/>
      <c r="R28" s="273"/>
      <c r="S28" s="273"/>
      <c r="T28" s="273"/>
      <c r="U28" s="273"/>
      <c r="V28" s="273"/>
      <c r="W28" s="273"/>
      <c r="X28" s="273"/>
      <c r="Y28" s="273"/>
      <c r="AA28" s="218"/>
    </row>
    <row r="29" spans="1:32" ht="15.95" customHeight="1">
      <c r="A29" s="220" t="s">
        <v>613</v>
      </c>
      <c r="B29" s="228" t="s">
        <v>612</v>
      </c>
      <c r="C29" s="227"/>
      <c r="D29" s="227"/>
      <c r="E29" s="227"/>
      <c r="F29" s="227"/>
      <c r="G29" s="227"/>
      <c r="H29" s="227"/>
      <c r="I29" s="227"/>
      <c r="J29" s="227"/>
      <c r="K29" s="227"/>
      <c r="L29" s="227"/>
      <c r="M29" s="227"/>
      <c r="N29" s="227"/>
      <c r="O29" s="227"/>
      <c r="P29" s="227"/>
      <c r="Q29" s="227"/>
      <c r="R29" s="227"/>
      <c r="S29" s="227"/>
      <c r="T29" s="227"/>
      <c r="U29" s="227"/>
      <c r="V29" s="227"/>
      <c r="W29" s="227"/>
      <c r="X29" s="227"/>
      <c r="Y29" s="227"/>
      <c r="AA29" s="218"/>
    </row>
    <row r="30" spans="1:32" s="223" customFormat="1" ht="15.95" customHeight="1">
      <c r="A30" s="226"/>
      <c r="B30" s="225"/>
      <c r="C30" s="225"/>
      <c r="D30" s="225"/>
      <c r="E30" s="225"/>
      <c r="F30" s="225"/>
      <c r="G30" s="225"/>
      <c r="H30" s="225"/>
      <c r="I30" s="225"/>
      <c r="J30" s="225"/>
      <c r="K30" s="225"/>
      <c r="L30" s="225"/>
      <c r="M30" s="225"/>
      <c r="N30" s="225"/>
      <c r="O30" s="225"/>
      <c r="P30" s="225"/>
      <c r="Q30" s="225"/>
      <c r="R30" s="225"/>
      <c r="S30" s="225"/>
      <c r="T30" s="225"/>
      <c r="U30" s="225"/>
      <c r="V30" s="225"/>
      <c r="W30" s="225"/>
      <c r="X30" s="225"/>
      <c r="Y30" s="225"/>
      <c r="Z30" s="225"/>
      <c r="AA30" s="224"/>
      <c r="AF30" s="223" t="s">
        <v>611</v>
      </c>
    </row>
    <row r="31" spans="1:32" ht="15.95" customHeight="1">
      <c r="A31" s="222" t="s">
        <v>610</v>
      </c>
      <c r="B31" s="221"/>
      <c r="C31" s="218"/>
      <c r="D31" s="218"/>
      <c r="E31" s="218"/>
      <c r="F31" s="218"/>
      <c r="G31" s="218"/>
      <c r="H31" s="218"/>
      <c r="I31" s="218"/>
      <c r="J31" s="218"/>
      <c r="K31" s="218"/>
      <c r="L31" s="218"/>
      <c r="M31" s="218"/>
      <c r="N31" s="218"/>
      <c r="T31" s="218"/>
      <c r="AA31" s="218"/>
      <c r="AF31" s="217" t="s">
        <v>609</v>
      </c>
    </row>
    <row r="32" spans="1:32" ht="15.95" customHeight="1">
      <c r="A32" s="220" t="s">
        <v>608</v>
      </c>
      <c r="B32" s="218" t="s">
        <v>607</v>
      </c>
      <c r="C32" s="218"/>
      <c r="D32" s="218"/>
      <c r="E32" s="218"/>
      <c r="F32" s="218"/>
      <c r="G32" s="218"/>
      <c r="H32" s="218"/>
      <c r="I32" s="218"/>
      <c r="J32" s="218"/>
      <c r="K32" s="218"/>
      <c r="L32" s="218"/>
      <c r="M32" s="218"/>
      <c r="N32" s="218"/>
      <c r="T32" s="218"/>
      <c r="AA32" s="218"/>
    </row>
    <row r="33" spans="1:27" ht="15.95" customHeight="1">
      <c r="A33" s="220" t="s">
        <v>606</v>
      </c>
      <c r="B33" s="218" t="s">
        <v>605</v>
      </c>
      <c r="C33" s="218"/>
      <c r="D33" s="218"/>
      <c r="E33" s="218"/>
      <c r="F33" s="218"/>
      <c r="G33" s="218"/>
      <c r="H33" s="218"/>
      <c r="I33" s="218"/>
      <c r="J33" s="218"/>
      <c r="K33" s="218"/>
      <c r="L33" s="218"/>
      <c r="M33" s="218"/>
      <c r="N33" s="218"/>
      <c r="O33" s="218"/>
      <c r="P33" s="218"/>
      <c r="Q33" s="218"/>
      <c r="R33" s="218"/>
      <c r="S33" s="218"/>
      <c r="T33" s="218"/>
      <c r="U33" s="218"/>
      <c r="V33" s="218"/>
      <c r="W33" s="218"/>
      <c r="X33" s="218"/>
      <c r="Y33" s="218"/>
      <c r="AA33" s="218"/>
    </row>
    <row r="34" spans="1:27" ht="15.95" customHeight="1">
      <c r="A34" s="220" t="s">
        <v>604</v>
      </c>
      <c r="B34" s="272" t="s">
        <v>603</v>
      </c>
      <c r="C34" s="272"/>
      <c r="D34" s="272"/>
      <c r="E34" s="272"/>
      <c r="F34" s="272"/>
      <c r="G34" s="272"/>
      <c r="H34" s="272"/>
      <c r="I34" s="272"/>
      <c r="J34" s="272"/>
      <c r="K34" s="272"/>
      <c r="L34" s="272"/>
      <c r="M34" s="272"/>
      <c r="N34" s="272"/>
      <c r="O34" s="272"/>
      <c r="P34" s="272"/>
      <c r="Q34" s="272"/>
      <c r="R34" s="272"/>
      <c r="S34" s="272"/>
      <c r="T34" s="272"/>
      <c r="U34" s="272"/>
      <c r="V34" s="272"/>
      <c r="W34" s="272"/>
      <c r="X34" s="272"/>
      <c r="Y34" s="272"/>
      <c r="Z34" s="272"/>
      <c r="AA34" s="218"/>
    </row>
    <row r="35" spans="1:27" ht="15.95" customHeight="1">
      <c r="A35" s="220"/>
      <c r="B35" s="272"/>
      <c r="C35" s="272"/>
      <c r="D35" s="272"/>
      <c r="E35" s="272"/>
      <c r="F35" s="272"/>
      <c r="G35" s="272"/>
      <c r="H35" s="272"/>
      <c r="I35" s="272"/>
      <c r="J35" s="272"/>
      <c r="K35" s="272"/>
      <c r="L35" s="272"/>
      <c r="M35" s="272"/>
      <c r="N35" s="272"/>
      <c r="O35" s="272"/>
      <c r="P35" s="272"/>
      <c r="Q35" s="272"/>
      <c r="R35" s="272"/>
      <c r="S35" s="272"/>
      <c r="T35" s="272"/>
      <c r="U35" s="272"/>
      <c r="V35" s="272"/>
      <c r="W35" s="272"/>
      <c r="X35" s="272"/>
      <c r="Y35" s="272"/>
      <c r="Z35" s="272"/>
      <c r="AA35" s="218"/>
    </row>
    <row r="36" spans="1:27" ht="15.95" customHeight="1">
      <c r="A36" s="220" t="s">
        <v>602</v>
      </c>
      <c r="B36" s="218" t="s">
        <v>601</v>
      </c>
      <c r="C36" s="218"/>
      <c r="D36" s="218"/>
      <c r="E36" s="218"/>
      <c r="F36" s="218"/>
      <c r="G36" s="218"/>
      <c r="H36" s="218"/>
      <c r="I36" s="218"/>
      <c r="J36" s="218"/>
      <c r="K36" s="218"/>
      <c r="L36" s="218"/>
      <c r="M36" s="218"/>
      <c r="N36" s="218"/>
      <c r="O36" s="218"/>
      <c r="P36" s="218"/>
      <c r="Q36" s="218"/>
      <c r="R36" s="218"/>
      <c r="S36" s="218"/>
      <c r="T36" s="218"/>
      <c r="U36" s="218"/>
      <c r="V36" s="218"/>
      <c r="W36" s="218"/>
      <c r="X36" s="218"/>
      <c r="Y36" s="218"/>
      <c r="AA36" s="218"/>
    </row>
    <row r="37" spans="1:27" ht="15.95" customHeight="1">
      <c r="A37" s="220"/>
      <c r="B37" s="219"/>
      <c r="C37" s="218"/>
      <c r="D37" s="218"/>
      <c r="E37" s="218"/>
      <c r="F37" s="218"/>
      <c r="G37" s="218"/>
      <c r="H37" s="218"/>
      <c r="I37" s="218"/>
      <c r="J37" s="218"/>
      <c r="K37" s="218"/>
      <c r="L37" s="218"/>
      <c r="M37" s="218"/>
      <c r="N37" s="218"/>
      <c r="O37" s="218"/>
      <c r="P37" s="218"/>
      <c r="Q37" s="218"/>
      <c r="R37" s="218"/>
      <c r="S37" s="218"/>
      <c r="T37" s="218"/>
      <c r="U37" s="218"/>
      <c r="V37" s="218"/>
      <c r="W37" s="218"/>
      <c r="X37" s="218"/>
      <c r="Y37" s="218"/>
      <c r="AA37" s="218"/>
    </row>
    <row r="38" spans="1:27" ht="13.5" customHeight="1">
      <c r="A38" s="218"/>
      <c r="B38" s="218"/>
      <c r="C38" s="218"/>
      <c r="D38" s="218"/>
      <c r="E38" s="218"/>
      <c r="F38" s="218"/>
      <c r="G38" s="218"/>
      <c r="H38" s="218"/>
      <c r="I38" s="218"/>
      <c r="J38" s="218"/>
      <c r="K38" s="218"/>
      <c r="L38" s="218"/>
      <c r="M38" s="218"/>
      <c r="N38" s="218"/>
      <c r="O38" s="218"/>
      <c r="P38" s="218"/>
      <c r="Q38" s="218"/>
      <c r="R38" s="218"/>
      <c r="S38" s="218"/>
      <c r="T38" s="218"/>
      <c r="U38" s="218"/>
      <c r="V38" s="218"/>
      <c r="W38" s="218"/>
      <c r="X38" s="218"/>
      <c r="Y38" s="218"/>
    </row>
    <row r="39" spans="1:27" ht="13.5" customHeight="1">
      <c r="A39" s="218"/>
      <c r="B39" s="218"/>
      <c r="C39" s="218"/>
      <c r="D39" s="218"/>
      <c r="E39" s="218"/>
      <c r="F39" s="218"/>
      <c r="G39" s="218"/>
      <c r="H39" s="218"/>
      <c r="I39" s="218"/>
      <c r="J39" s="218"/>
      <c r="K39" s="218"/>
      <c r="L39" s="218"/>
      <c r="M39" s="218"/>
      <c r="N39" s="218"/>
      <c r="O39" s="218"/>
      <c r="P39" s="218"/>
      <c r="Q39" s="218"/>
      <c r="R39" s="218"/>
      <c r="S39" s="218"/>
      <c r="T39" s="218"/>
      <c r="U39" s="218"/>
      <c r="V39" s="218"/>
      <c r="W39" s="218"/>
      <c r="X39" s="218"/>
      <c r="Y39" s="218"/>
    </row>
    <row r="40" spans="1:27" ht="13.5" customHeight="1">
      <c r="A40" s="218"/>
      <c r="B40" s="218"/>
      <c r="C40" s="218"/>
      <c r="D40" s="218"/>
      <c r="E40" s="218"/>
      <c r="F40" s="218"/>
      <c r="G40" s="218"/>
      <c r="H40" s="218"/>
      <c r="I40" s="218"/>
      <c r="J40" s="218"/>
      <c r="K40" s="218"/>
      <c r="L40" s="218"/>
      <c r="M40" s="218"/>
      <c r="N40" s="218"/>
      <c r="O40" s="218"/>
      <c r="P40" s="218"/>
      <c r="Q40" s="218"/>
      <c r="R40" s="218"/>
      <c r="S40" s="218"/>
      <c r="T40" s="218"/>
      <c r="U40" s="218"/>
      <c r="V40" s="218"/>
      <c r="W40" s="218"/>
      <c r="X40" s="218"/>
      <c r="Y40" s="218"/>
    </row>
    <row r="41" spans="1:27" ht="13.5" customHeight="1">
      <c r="A41" s="218"/>
      <c r="B41" s="218"/>
      <c r="C41" s="218"/>
      <c r="D41" s="218"/>
      <c r="E41" s="218"/>
      <c r="F41" s="218"/>
      <c r="G41" s="218"/>
      <c r="H41" s="218"/>
      <c r="I41" s="218"/>
      <c r="J41" s="218"/>
      <c r="K41" s="218"/>
      <c r="L41" s="218"/>
      <c r="M41" s="218"/>
      <c r="N41" s="218"/>
      <c r="O41" s="218"/>
      <c r="P41" s="218"/>
      <c r="Q41" s="218"/>
      <c r="R41" s="218"/>
      <c r="S41" s="218"/>
      <c r="T41" s="218"/>
      <c r="U41" s="218"/>
      <c r="V41" s="218"/>
      <c r="W41" s="218"/>
      <c r="X41" s="218"/>
      <c r="Y41" s="218"/>
    </row>
    <row r="42" spans="1:27" ht="13.5" customHeight="1">
      <c r="A42" s="218"/>
      <c r="B42" s="218"/>
      <c r="C42" s="218"/>
      <c r="D42" s="218"/>
      <c r="E42" s="218"/>
      <c r="F42" s="218"/>
      <c r="G42" s="218"/>
      <c r="H42" s="218"/>
      <c r="I42" s="218"/>
      <c r="J42" s="218"/>
      <c r="K42" s="218"/>
      <c r="L42" s="218"/>
      <c r="M42" s="218"/>
      <c r="N42" s="218"/>
      <c r="O42" s="218"/>
      <c r="P42" s="218"/>
      <c r="Q42" s="218"/>
      <c r="R42" s="218"/>
      <c r="S42" s="218"/>
      <c r="T42" s="218"/>
      <c r="U42" s="218"/>
      <c r="V42" s="218"/>
      <c r="W42" s="218"/>
      <c r="X42" s="218"/>
      <c r="Y42" s="218"/>
    </row>
    <row r="43" spans="1:27" ht="13.5" customHeight="1">
      <c r="A43" s="218"/>
      <c r="B43" s="218"/>
      <c r="C43" s="218"/>
      <c r="D43" s="218"/>
      <c r="E43" s="218"/>
      <c r="F43" s="218"/>
      <c r="G43" s="218"/>
      <c r="H43" s="218"/>
      <c r="I43" s="218"/>
      <c r="J43" s="218"/>
      <c r="K43" s="218"/>
      <c r="L43" s="218"/>
      <c r="M43" s="218"/>
      <c r="N43" s="218"/>
      <c r="O43" s="218"/>
      <c r="P43" s="218"/>
      <c r="Q43" s="218"/>
      <c r="R43" s="218"/>
      <c r="S43" s="218"/>
      <c r="T43" s="218"/>
      <c r="U43" s="218"/>
      <c r="V43" s="218"/>
      <c r="W43" s="218"/>
      <c r="X43" s="218"/>
      <c r="Y43" s="218"/>
    </row>
    <row r="44" spans="1:27" ht="13.5" customHeight="1">
      <c r="A44" s="218"/>
      <c r="B44" s="218"/>
      <c r="C44" s="218"/>
      <c r="D44" s="218"/>
      <c r="E44" s="218"/>
      <c r="F44" s="218"/>
      <c r="G44" s="218"/>
      <c r="H44" s="218"/>
      <c r="I44" s="218"/>
      <c r="J44" s="218"/>
      <c r="K44" s="218"/>
      <c r="L44" s="218"/>
      <c r="M44" s="218"/>
      <c r="N44" s="218"/>
      <c r="O44" s="218"/>
      <c r="P44" s="218"/>
      <c r="Q44" s="218"/>
      <c r="R44" s="218"/>
      <c r="S44" s="218"/>
      <c r="T44" s="218"/>
      <c r="U44" s="218"/>
      <c r="V44" s="218"/>
      <c r="W44" s="218"/>
      <c r="X44" s="218"/>
      <c r="Y44" s="218"/>
    </row>
    <row r="45" spans="1:27" ht="13.5" customHeight="1">
      <c r="A45" s="218"/>
      <c r="B45" s="218"/>
      <c r="C45" s="218"/>
      <c r="D45" s="218"/>
      <c r="E45" s="218"/>
      <c r="F45" s="218"/>
      <c r="G45" s="218"/>
      <c r="H45" s="218"/>
      <c r="I45" s="218"/>
      <c r="J45" s="218"/>
      <c r="K45" s="218"/>
      <c r="L45" s="218"/>
      <c r="M45" s="218"/>
      <c r="N45" s="218"/>
      <c r="O45" s="218"/>
      <c r="P45" s="218"/>
      <c r="Q45" s="218"/>
      <c r="R45" s="218"/>
      <c r="S45" s="218"/>
      <c r="T45" s="218"/>
      <c r="U45" s="218"/>
      <c r="V45" s="218"/>
      <c r="W45" s="218"/>
      <c r="X45" s="218"/>
      <c r="Y45" s="218"/>
    </row>
    <row r="46" spans="1:27" ht="13.5" customHeight="1">
      <c r="A46" s="218"/>
      <c r="B46" s="218"/>
      <c r="C46" s="218"/>
      <c r="D46" s="218"/>
      <c r="E46" s="218"/>
      <c r="F46" s="218"/>
      <c r="G46" s="218"/>
      <c r="H46" s="218"/>
      <c r="I46" s="218"/>
      <c r="J46" s="218"/>
      <c r="K46" s="218"/>
      <c r="L46" s="218"/>
      <c r="M46" s="218"/>
      <c r="N46" s="218"/>
      <c r="O46" s="218"/>
      <c r="P46" s="218"/>
      <c r="Q46" s="218"/>
      <c r="R46" s="218"/>
      <c r="S46" s="218"/>
      <c r="T46" s="218"/>
      <c r="U46" s="218"/>
      <c r="V46" s="218"/>
      <c r="W46" s="218"/>
      <c r="X46" s="218"/>
      <c r="Y46" s="218"/>
    </row>
    <row r="47" spans="1:27" ht="13.5" customHeight="1">
      <c r="A47" s="218"/>
      <c r="B47" s="218"/>
      <c r="C47" s="218"/>
      <c r="D47" s="218"/>
      <c r="E47" s="218"/>
      <c r="F47" s="218"/>
      <c r="G47" s="218"/>
      <c r="H47" s="218"/>
      <c r="I47" s="218"/>
      <c r="J47" s="218"/>
      <c r="K47" s="218"/>
      <c r="L47" s="218"/>
      <c r="M47" s="218"/>
      <c r="N47" s="218"/>
      <c r="O47" s="218"/>
      <c r="P47" s="218"/>
      <c r="Q47" s="218"/>
      <c r="R47" s="218"/>
      <c r="S47" s="218"/>
      <c r="T47" s="218"/>
      <c r="U47" s="218"/>
      <c r="V47" s="218"/>
      <c r="W47" s="218"/>
      <c r="X47" s="218"/>
      <c r="Y47" s="218"/>
    </row>
    <row r="48" spans="1:27" ht="13.5" customHeight="1">
      <c r="A48" s="218"/>
      <c r="B48" s="218"/>
      <c r="C48" s="218"/>
      <c r="D48" s="218"/>
      <c r="E48" s="218"/>
      <c r="F48" s="218"/>
      <c r="G48" s="218"/>
      <c r="H48" s="218"/>
      <c r="I48" s="218"/>
      <c r="J48" s="218"/>
      <c r="K48" s="218"/>
      <c r="L48" s="218"/>
      <c r="M48" s="218"/>
      <c r="N48" s="218"/>
      <c r="O48" s="218"/>
      <c r="P48" s="218"/>
      <c r="Q48" s="218"/>
      <c r="R48" s="218"/>
      <c r="S48" s="218"/>
      <c r="T48" s="218"/>
      <c r="U48" s="218"/>
      <c r="V48" s="218"/>
      <c r="W48" s="218"/>
      <c r="X48" s="218"/>
      <c r="Y48" s="218"/>
    </row>
    <row r="49" spans="1:25" ht="13.5" customHeight="1">
      <c r="A49" s="218"/>
      <c r="B49" s="218"/>
      <c r="C49" s="218"/>
      <c r="D49" s="218"/>
      <c r="E49" s="218"/>
      <c r="F49" s="218"/>
      <c r="G49" s="218"/>
      <c r="H49" s="218"/>
      <c r="I49" s="218"/>
      <c r="J49" s="218"/>
      <c r="K49" s="218"/>
      <c r="L49" s="218"/>
      <c r="M49" s="218"/>
      <c r="N49" s="218"/>
      <c r="O49" s="218"/>
      <c r="P49" s="218"/>
      <c r="Q49" s="218"/>
      <c r="R49" s="218"/>
      <c r="S49" s="218"/>
      <c r="T49" s="218"/>
      <c r="U49" s="218"/>
      <c r="V49" s="218"/>
      <c r="W49" s="218"/>
      <c r="X49" s="218"/>
      <c r="Y49" s="218"/>
    </row>
    <row r="50" spans="1:25" ht="13.5" customHeight="1">
      <c r="A50" s="218"/>
      <c r="B50" s="218"/>
      <c r="C50" s="218"/>
      <c r="D50" s="218"/>
      <c r="E50" s="218"/>
      <c r="F50" s="218"/>
      <c r="G50" s="218"/>
      <c r="H50" s="218"/>
      <c r="I50" s="218"/>
      <c r="J50" s="218"/>
      <c r="K50" s="218"/>
      <c r="L50" s="218"/>
      <c r="M50" s="218"/>
      <c r="N50" s="218"/>
      <c r="O50" s="218"/>
      <c r="P50" s="218"/>
      <c r="Q50" s="218"/>
      <c r="R50" s="218"/>
      <c r="S50" s="218"/>
      <c r="T50" s="218"/>
      <c r="U50" s="218"/>
      <c r="V50" s="218"/>
      <c r="W50" s="218"/>
      <c r="X50" s="218"/>
      <c r="Y50" s="218"/>
    </row>
    <row r="51" spans="1:25" ht="13.5" customHeight="1">
      <c r="A51" s="218"/>
      <c r="B51" s="218"/>
      <c r="C51" s="218"/>
      <c r="D51" s="218"/>
      <c r="E51" s="218"/>
      <c r="F51" s="218"/>
      <c r="G51" s="218"/>
      <c r="H51" s="218"/>
      <c r="I51" s="218"/>
      <c r="J51" s="218"/>
      <c r="K51" s="218"/>
      <c r="L51" s="218"/>
      <c r="M51" s="218"/>
      <c r="N51" s="218"/>
      <c r="O51" s="218"/>
      <c r="P51" s="218"/>
      <c r="Q51" s="218"/>
      <c r="R51" s="218"/>
      <c r="S51" s="218"/>
      <c r="T51" s="218"/>
      <c r="U51" s="218"/>
      <c r="V51" s="218"/>
      <c r="W51" s="218"/>
      <c r="X51" s="218"/>
      <c r="Y51" s="218"/>
    </row>
    <row r="52" spans="1:25" ht="13.5" customHeight="1">
      <c r="A52" s="218"/>
      <c r="B52" s="218"/>
      <c r="C52" s="218"/>
      <c r="D52" s="218"/>
      <c r="E52" s="218"/>
      <c r="F52" s="218"/>
      <c r="G52" s="218"/>
      <c r="H52" s="218"/>
      <c r="I52" s="218"/>
      <c r="J52" s="218"/>
      <c r="K52" s="218"/>
      <c r="L52" s="218"/>
      <c r="M52" s="218"/>
      <c r="N52" s="218"/>
      <c r="O52" s="218"/>
      <c r="P52" s="218"/>
      <c r="Q52" s="218"/>
      <c r="R52" s="218"/>
      <c r="S52" s="218"/>
      <c r="T52" s="218"/>
      <c r="U52" s="218"/>
      <c r="V52" s="218"/>
      <c r="W52" s="218"/>
      <c r="X52" s="218"/>
      <c r="Y52" s="218"/>
    </row>
    <row r="53" spans="1:25" ht="13.5" customHeight="1">
      <c r="A53" s="218"/>
      <c r="B53" s="218"/>
      <c r="C53" s="218"/>
      <c r="D53" s="218"/>
      <c r="E53" s="218"/>
      <c r="F53" s="218"/>
      <c r="G53" s="218"/>
      <c r="H53" s="218"/>
      <c r="I53" s="218"/>
      <c r="J53" s="218"/>
      <c r="K53" s="218"/>
      <c r="L53" s="218"/>
      <c r="M53" s="218"/>
      <c r="N53" s="218"/>
      <c r="O53" s="218"/>
      <c r="P53" s="218"/>
      <c r="Q53" s="218"/>
      <c r="R53" s="218"/>
      <c r="S53" s="218"/>
      <c r="T53" s="218"/>
      <c r="U53" s="218"/>
      <c r="V53" s="218"/>
      <c r="W53" s="218"/>
      <c r="X53" s="218"/>
      <c r="Y53" s="218"/>
    </row>
    <row r="54" spans="1:25" ht="13.5" customHeight="1">
      <c r="A54" s="218"/>
      <c r="B54" s="218"/>
      <c r="C54" s="218"/>
      <c r="D54" s="218"/>
      <c r="E54" s="218"/>
      <c r="F54" s="218"/>
      <c r="G54" s="218"/>
      <c r="H54" s="218"/>
      <c r="I54" s="218"/>
      <c r="J54" s="218"/>
      <c r="K54" s="218"/>
      <c r="L54" s="218"/>
      <c r="M54" s="218"/>
      <c r="N54" s="218"/>
      <c r="O54" s="218"/>
      <c r="P54" s="218"/>
      <c r="Q54" s="218"/>
      <c r="R54" s="218"/>
      <c r="S54" s="218"/>
      <c r="T54" s="218"/>
      <c r="U54" s="218"/>
      <c r="V54" s="218"/>
      <c r="W54" s="218"/>
      <c r="X54" s="218"/>
      <c r="Y54" s="218"/>
    </row>
    <row r="55" spans="1:25" ht="13.5" customHeight="1">
      <c r="A55" s="218"/>
      <c r="B55" s="218"/>
      <c r="C55" s="218"/>
      <c r="D55" s="218"/>
      <c r="E55" s="218"/>
      <c r="F55" s="218"/>
      <c r="G55" s="218"/>
      <c r="H55" s="218"/>
      <c r="I55" s="218"/>
      <c r="J55" s="218"/>
      <c r="K55" s="218"/>
      <c r="L55" s="218"/>
      <c r="M55" s="218"/>
      <c r="N55" s="218"/>
      <c r="O55" s="218"/>
      <c r="P55" s="218"/>
      <c r="Q55" s="218"/>
      <c r="R55" s="218"/>
      <c r="S55" s="218"/>
      <c r="T55" s="218"/>
      <c r="U55" s="218"/>
      <c r="V55" s="218"/>
      <c r="W55" s="218"/>
      <c r="X55" s="218"/>
      <c r="Y55" s="218"/>
    </row>
    <row r="56" spans="1:25" ht="13.5" customHeight="1">
      <c r="A56" s="218"/>
      <c r="B56" s="218"/>
      <c r="C56" s="218"/>
      <c r="D56" s="218"/>
      <c r="E56" s="218"/>
      <c r="F56" s="218"/>
      <c r="G56" s="218"/>
      <c r="H56" s="218"/>
      <c r="I56" s="218"/>
      <c r="J56" s="218"/>
      <c r="K56" s="218"/>
      <c r="L56" s="218"/>
      <c r="M56" s="218"/>
      <c r="N56" s="218"/>
      <c r="O56" s="218"/>
      <c r="P56" s="218"/>
      <c r="Q56" s="218"/>
      <c r="R56" s="218"/>
      <c r="S56" s="218"/>
      <c r="T56" s="218"/>
      <c r="U56" s="218"/>
      <c r="V56" s="218"/>
      <c r="W56" s="218"/>
      <c r="X56" s="218"/>
      <c r="Y56" s="218"/>
    </row>
    <row r="57" spans="1:25" ht="13.5" customHeight="1">
      <c r="A57" s="218"/>
      <c r="B57" s="218"/>
      <c r="C57" s="218"/>
      <c r="D57" s="218"/>
      <c r="E57" s="218"/>
      <c r="F57" s="218"/>
      <c r="G57" s="218"/>
      <c r="H57" s="218"/>
      <c r="I57" s="218"/>
      <c r="J57" s="218"/>
      <c r="K57" s="218"/>
      <c r="L57" s="218"/>
      <c r="M57" s="218"/>
      <c r="N57" s="218"/>
      <c r="O57" s="218"/>
      <c r="P57" s="218"/>
      <c r="Q57" s="218"/>
      <c r="R57" s="218"/>
      <c r="S57" s="218"/>
      <c r="T57" s="218"/>
      <c r="U57" s="218"/>
      <c r="V57" s="218"/>
      <c r="W57" s="218"/>
      <c r="X57" s="218"/>
      <c r="Y57" s="218"/>
    </row>
    <row r="58" spans="1:25" ht="13.5" customHeight="1">
      <c r="A58" s="218"/>
      <c r="B58" s="218"/>
      <c r="C58" s="218"/>
      <c r="D58" s="218"/>
      <c r="E58" s="218"/>
      <c r="F58" s="218"/>
      <c r="G58" s="218"/>
      <c r="H58" s="218"/>
      <c r="I58" s="218"/>
      <c r="J58" s="218"/>
      <c r="K58" s="218"/>
      <c r="L58" s="218"/>
      <c r="M58" s="218"/>
      <c r="N58" s="218"/>
      <c r="O58" s="218"/>
      <c r="P58" s="218"/>
      <c r="Q58" s="218"/>
      <c r="R58" s="218"/>
      <c r="S58" s="218"/>
      <c r="T58" s="218"/>
      <c r="U58" s="218"/>
      <c r="V58" s="218"/>
      <c r="W58" s="218"/>
      <c r="X58" s="218"/>
      <c r="Y58" s="218"/>
    </row>
    <row r="59" spans="1:25" ht="13.5" customHeight="1">
      <c r="A59" s="218"/>
      <c r="B59" s="218"/>
      <c r="C59" s="218"/>
      <c r="D59" s="218"/>
      <c r="E59" s="218"/>
      <c r="F59" s="218"/>
      <c r="G59" s="218"/>
      <c r="H59" s="218"/>
      <c r="I59" s="218"/>
      <c r="J59" s="218"/>
      <c r="K59" s="218"/>
      <c r="L59" s="218"/>
      <c r="M59" s="218"/>
      <c r="N59" s="218"/>
      <c r="O59" s="218"/>
      <c r="P59" s="218"/>
      <c r="Q59" s="218"/>
      <c r="R59" s="218"/>
      <c r="S59" s="218"/>
      <c r="T59" s="218"/>
      <c r="U59" s="218"/>
      <c r="V59" s="218"/>
      <c r="W59" s="218"/>
      <c r="X59" s="218"/>
      <c r="Y59" s="218"/>
    </row>
    <row r="60" spans="1:25" ht="13.5" customHeight="1">
      <c r="A60" s="218"/>
      <c r="B60" s="218"/>
      <c r="C60" s="218"/>
      <c r="D60" s="218"/>
      <c r="E60" s="218"/>
      <c r="F60" s="218"/>
      <c r="G60" s="218"/>
      <c r="H60" s="218"/>
      <c r="I60" s="218"/>
      <c r="J60" s="218"/>
      <c r="K60" s="218"/>
      <c r="L60" s="218"/>
      <c r="M60" s="218"/>
      <c r="N60" s="218"/>
      <c r="O60" s="218"/>
      <c r="P60" s="218"/>
      <c r="Q60" s="218"/>
      <c r="R60" s="218"/>
      <c r="S60" s="218"/>
      <c r="T60" s="218"/>
      <c r="U60" s="218"/>
      <c r="V60" s="218"/>
      <c r="W60" s="218"/>
      <c r="X60" s="218"/>
      <c r="Y60" s="218"/>
    </row>
    <row r="61" spans="1:25" ht="13.5" customHeight="1">
      <c r="A61" s="218"/>
      <c r="B61" s="218"/>
      <c r="C61" s="218"/>
      <c r="D61" s="218"/>
      <c r="E61" s="218"/>
      <c r="F61" s="218"/>
      <c r="G61" s="218"/>
      <c r="H61" s="218"/>
      <c r="I61" s="218"/>
      <c r="J61" s="218"/>
      <c r="K61" s="218"/>
      <c r="L61" s="218"/>
      <c r="M61" s="218"/>
      <c r="N61" s="218"/>
      <c r="O61" s="218"/>
      <c r="P61" s="218"/>
      <c r="Q61" s="218"/>
      <c r="R61" s="218"/>
      <c r="S61" s="218"/>
      <c r="T61" s="218"/>
      <c r="U61" s="218"/>
      <c r="V61" s="218"/>
      <c r="W61" s="218"/>
      <c r="X61" s="218"/>
      <c r="Y61" s="218"/>
    </row>
    <row r="62" spans="1:25" ht="13.5" customHeight="1">
      <c r="A62" s="218"/>
      <c r="B62" s="218"/>
      <c r="C62" s="218"/>
      <c r="D62" s="218"/>
      <c r="E62" s="218"/>
      <c r="F62" s="218"/>
      <c r="G62" s="218"/>
      <c r="H62" s="218"/>
      <c r="I62" s="218"/>
      <c r="J62" s="218"/>
      <c r="K62" s="218"/>
      <c r="L62" s="218"/>
      <c r="M62" s="218"/>
      <c r="N62" s="218"/>
      <c r="O62" s="218"/>
      <c r="P62" s="218"/>
      <c r="Q62" s="218"/>
      <c r="R62" s="218"/>
      <c r="S62" s="218"/>
      <c r="T62" s="218"/>
      <c r="U62" s="218"/>
      <c r="V62" s="218"/>
      <c r="W62" s="218"/>
      <c r="X62" s="218"/>
      <c r="Y62" s="218"/>
    </row>
    <row r="63" spans="1:25" ht="13.5" customHeight="1">
      <c r="A63" s="218"/>
      <c r="B63" s="218"/>
      <c r="C63" s="218"/>
      <c r="D63" s="218"/>
      <c r="E63" s="218"/>
      <c r="F63" s="218"/>
      <c r="G63" s="218"/>
      <c r="H63" s="218"/>
      <c r="I63" s="218"/>
      <c r="J63" s="218"/>
      <c r="K63" s="218"/>
      <c r="L63" s="218"/>
      <c r="M63" s="218"/>
      <c r="N63" s="218"/>
      <c r="O63" s="218"/>
      <c r="P63" s="218"/>
      <c r="Q63" s="218"/>
      <c r="R63" s="218"/>
      <c r="S63" s="218"/>
      <c r="T63" s="218"/>
      <c r="U63" s="218"/>
      <c r="V63" s="218"/>
      <c r="W63" s="218"/>
      <c r="X63" s="218"/>
      <c r="Y63" s="218"/>
    </row>
    <row r="64" spans="1:25" ht="13.5" customHeight="1">
      <c r="A64" s="218"/>
      <c r="B64" s="218"/>
      <c r="C64" s="218"/>
      <c r="D64" s="218"/>
      <c r="E64" s="218"/>
      <c r="F64" s="218"/>
      <c r="G64" s="218"/>
      <c r="H64" s="218"/>
      <c r="I64" s="218"/>
      <c r="J64" s="218"/>
      <c r="K64" s="218"/>
      <c r="L64" s="218"/>
      <c r="M64" s="218"/>
      <c r="N64" s="218"/>
      <c r="O64" s="218"/>
      <c r="P64" s="218"/>
      <c r="Q64" s="218"/>
      <c r="R64" s="218"/>
      <c r="S64" s="218"/>
      <c r="T64" s="218"/>
      <c r="U64" s="218"/>
      <c r="V64" s="218"/>
      <c r="W64" s="218"/>
      <c r="X64" s="218"/>
      <c r="Y64" s="218"/>
    </row>
    <row r="65" spans="1:25" ht="13.5" customHeight="1">
      <c r="A65" s="218"/>
      <c r="B65" s="218"/>
      <c r="C65" s="218"/>
      <c r="D65" s="218"/>
      <c r="E65" s="218"/>
      <c r="F65" s="218"/>
      <c r="G65" s="218"/>
      <c r="H65" s="218"/>
      <c r="I65" s="218"/>
      <c r="J65" s="218"/>
      <c r="K65" s="218"/>
      <c r="L65" s="218"/>
      <c r="M65" s="218"/>
      <c r="N65" s="218"/>
      <c r="O65" s="218"/>
      <c r="P65" s="218"/>
      <c r="Q65" s="218"/>
      <c r="R65" s="218"/>
      <c r="S65" s="218"/>
      <c r="T65" s="218"/>
      <c r="U65" s="218"/>
      <c r="V65" s="218"/>
      <c r="W65" s="218"/>
      <c r="X65" s="218"/>
      <c r="Y65" s="218"/>
    </row>
    <row r="66" spans="1:25" ht="13.5" customHeight="1">
      <c r="A66" s="218"/>
      <c r="B66" s="218"/>
      <c r="C66" s="218"/>
      <c r="D66" s="218"/>
      <c r="E66" s="218"/>
      <c r="F66" s="218"/>
      <c r="G66" s="218"/>
      <c r="H66" s="218"/>
      <c r="I66" s="218"/>
      <c r="J66" s="218"/>
      <c r="K66" s="218"/>
      <c r="L66" s="218"/>
      <c r="M66" s="218"/>
      <c r="N66" s="218"/>
      <c r="O66" s="218"/>
      <c r="P66" s="218"/>
      <c r="Q66" s="218"/>
      <c r="R66" s="218"/>
      <c r="S66" s="218"/>
      <c r="T66" s="218"/>
      <c r="U66" s="218"/>
      <c r="V66" s="218"/>
      <c r="W66" s="218"/>
      <c r="X66" s="218"/>
      <c r="Y66" s="218"/>
    </row>
    <row r="67" spans="1:25" ht="13.5" customHeight="1">
      <c r="A67" s="218"/>
      <c r="B67" s="218"/>
      <c r="C67" s="218"/>
      <c r="D67" s="218"/>
      <c r="E67" s="218"/>
      <c r="F67" s="218"/>
      <c r="G67" s="218"/>
      <c r="H67" s="218"/>
      <c r="I67" s="218"/>
      <c r="J67" s="218"/>
      <c r="K67" s="218"/>
      <c r="L67" s="218"/>
      <c r="M67" s="218"/>
      <c r="N67" s="218"/>
      <c r="O67" s="218"/>
      <c r="P67" s="218"/>
      <c r="Q67" s="218"/>
      <c r="R67" s="218"/>
      <c r="S67" s="218"/>
      <c r="T67" s="218"/>
      <c r="U67" s="218"/>
      <c r="V67" s="218"/>
      <c r="W67" s="218"/>
      <c r="X67" s="218"/>
      <c r="Y67" s="218"/>
    </row>
    <row r="68" spans="1:25" ht="13.5" customHeight="1">
      <c r="A68" s="218"/>
      <c r="B68" s="218"/>
      <c r="C68" s="218"/>
      <c r="D68" s="218"/>
      <c r="E68" s="218"/>
      <c r="F68" s="218"/>
      <c r="G68" s="218"/>
      <c r="H68" s="218"/>
      <c r="I68" s="218"/>
      <c r="J68" s="218"/>
      <c r="K68" s="218"/>
      <c r="L68" s="218"/>
      <c r="M68" s="218"/>
      <c r="N68" s="218"/>
      <c r="O68" s="218"/>
      <c r="P68" s="218"/>
      <c r="Q68" s="218"/>
      <c r="R68" s="218"/>
      <c r="S68" s="218"/>
      <c r="T68" s="218"/>
      <c r="U68" s="218"/>
      <c r="V68" s="218"/>
      <c r="W68" s="218"/>
      <c r="X68" s="218"/>
      <c r="Y68" s="218"/>
    </row>
    <row r="69" spans="1:25" ht="13.5" customHeight="1">
      <c r="A69" s="218"/>
      <c r="B69" s="218"/>
      <c r="C69" s="218"/>
      <c r="D69" s="218"/>
      <c r="E69" s="218"/>
      <c r="F69" s="218"/>
      <c r="G69" s="218"/>
      <c r="H69" s="218"/>
      <c r="I69" s="218"/>
      <c r="J69" s="218"/>
      <c r="K69" s="218"/>
      <c r="L69" s="218"/>
      <c r="M69" s="218"/>
      <c r="N69" s="218"/>
      <c r="O69" s="218"/>
      <c r="P69" s="218"/>
      <c r="Q69" s="218"/>
      <c r="R69" s="218"/>
      <c r="S69" s="218"/>
      <c r="T69" s="218"/>
      <c r="U69" s="218"/>
      <c r="V69" s="218"/>
      <c r="W69" s="218"/>
      <c r="X69" s="218"/>
      <c r="Y69" s="218"/>
    </row>
    <row r="70" spans="1:25" ht="13.5" customHeight="1">
      <c r="A70" s="218"/>
      <c r="B70" s="218"/>
      <c r="C70" s="218"/>
      <c r="D70" s="218"/>
      <c r="E70" s="218"/>
      <c r="F70" s="218"/>
      <c r="G70" s="218"/>
      <c r="H70" s="218"/>
      <c r="I70" s="218"/>
      <c r="J70" s="218"/>
      <c r="K70" s="218"/>
      <c r="L70" s="218"/>
      <c r="M70" s="218"/>
      <c r="N70" s="218"/>
      <c r="O70" s="218"/>
      <c r="P70" s="218"/>
      <c r="Q70" s="218"/>
      <c r="R70" s="218"/>
      <c r="S70" s="218"/>
      <c r="T70" s="218"/>
      <c r="U70" s="218"/>
      <c r="V70" s="218"/>
      <c r="W70" s="218"/>
      <c r="X70" s="218"/>
      <c r="Y70" s="218"/>
    </row>
    <row r="71" spans="1:25" ht="13.5" customHeight="1">
      <c r="A71" s="218"/>
      <c r="B71" s="218"/>
      <c r="C71" s="218"/>
      <c r="D71" s="218"/>
      <c r="E71" s="218"/>
      <c r="F71" s="218"/>
      <c r="G71" s="218"/>
      <c r="H71" s="218"/>
      <c r="I71" s="218"/>
      <c r="J71" s="218"/>
      <c r="K71" s="218"/>
      <c r="L71" s="218"/>
      <c r="M71" s="218"/>
      <c r="N71" s="218"/>
      <c r="O71" s="218"/>
      <c r="P71" s="218"/>
      <c r="Q71" s="218"/>
      <c r="R71" s="218"/>
      <c r="S71" s="218"/>
      <c r="T71" s="218"/>
      <c r="U71" s="218"/>
      <c r="V71" s="218"/>
      <c r="W71" s="218"/>
      <c r="X71" s="218"/>
      <c r="Y71" s="218"/>
    </row>
    <row r="72" spans="1:25" ht="13.5" customHeight="1">
      <c r="A72" s="218"/>
      <c r="B72" s="218"/>
      <c r="C72" s="218"/>
      <c r="D72" s="218"/>
      <c r="E72" s="218"/>
      <c r="F72" s="218"/>
      <c r="G72" s="218"/>
      <c r="H72" s="218"/>
      <c r="I72" s="218"/>
      <c r="J72" s="218"/>
      <c r="K72" s="218"/>
      <c r="L72" s="218"/>
      <c r="M72" s="218"/>
      <c r="N72" s="218"/>
      <c r="O72" s="218"/>
      <c r="P72" s="218"/>
      <c r="Q72" s="218"/>
      <c r="R72" s="218"/>
      <c r="S72" s="218"/>
      <c r="T72" s="218"/>
      <c r="U72" s="218"/>
      <c r="V72" s="218"/>
      <c r="W72" s="218"/>
      <c r="X72" s="218"/>
      <c r="Y72" s="218"/>
    </row>
    <row r="73" spans="1:25" ht="13.5" customHeight="1">
      <c r="A73" s="218"/>
      <c r="B73" s="218"/>
      <c r="C73" s="218"/>
      <c r="D73" s="218"/>
      <c r="E73" s="218"/>
      <c r="F73" s="218"/>
      <c r="G73" s="218"/>
      <c r="H73" s="218"/>
      <c r="I73" s="218"/>
      <c r="J73" s="218"/>
      <c r="K73" s="218"/>
      <c r="L73" s="218"/>
      <c r="M73" s="218"/>
      <c r="N73" s="218"/>
      <c r="O73" s="218"/>
      <c r="P73" s="218"/>
      <c r="Q73" s="218"/>
      <c r="R73" s="218"/>
      <c r="S73" s="218"/>
      <c r="T73" s="218"/>
      <c r="U73" s="218"/>
      <c r="V73" s="218"/>
      <c r="W73" s="218"/>
      <c r="X73" s="218"/>
      <c r="Y73" s="218"/>
    </row>
    <row r="74" spans="1:25" ht="13.5" customHeight="1">
      <c r="A74" s="218"/>
      <c r="B74" s="218"/>
      <c r="C74" s="218"/>
      <c r="D74" s="218"/>
      <c r="E74" s="218"/>
      <c r="F74" s="218"/>
      <c r="G74" s="218"/>
      <c r="H74" s="218"/>
      <c r="I74" s="218"/>
      <c r="J74" s="218"/>
      <c r="K74" s="218"/>
      <c r="L74" s="218"/>
      <c r="M74" s="218"/>
      <c r="N74" s="218"/>
      <c r="O74" s="218"/>
      <c r="P74" s="218"/>
      <c r="Q74" s="218"/>
      <c r="R74" s="218"/>
      <c r="S74" s="218"/>
      <c r="T74" s="218"/>
      <c r="U74" s="218"/>
      <c r="V74" s="218"/>
      <c r="W74" s="218"/>
      <c r="X74" s="218"/>
      <c r="Y74" s="218"/>
    </row>
    <row r="75" spans="1:25" ht="13.5" customHeight="1">
      <c r="A75" s="218"/>
      <c r="B75" s="218"/>
      <c r="C75" s="218"/>
      <c r="D75" s="218"/>
      <c r="E75" s="218"/>
      <c r="F75" s="218"/>
      <c r="G75" s="218"/>
      <c r="H75" s="218"/>
      <c r="I75" s="218"/>
      <c r="J75" s="218"/>
      <c r="K75" s="218"/>
      <c r="L75" s="218"/>
      <c r="M75" s="218"/>
      <c r="N75" s="218"/>
      <c r="O75" s="218"/>
      <c r="P75" s="218"/>
      <c r="Q75" s="218"/>
      <c r="R75" s="218"/>
      <c r="S75" s="218"/>
      <c r="T75" s="218"/>
      <c r="U75" s="218"/>
      <c r="V75" s="218"/>
      <c r="W75" s="218"/>
      <c r="X75" s="218"/>
      <c r="Y75" s="218"/>
    </row>
    <row r="76" spans="1:25" ht="13.5" customHeight="1">
      <c r="A76" s="218"/>
      <c r="B76" s="218"/>
      <c r="C76" s="218"/>
      <c r="D76" s="218"/>
      <c r="E76" s="218"/>
      <c r="F76" s="218"/>
      <c r="G76" s="218"/>
      <c r="H76" s="218"/>
      <c r="I76" s="218"/>
      <c r="J76" s="218"/>
      <c r="K76" s="218"/>
      <c r="L76" s="218"/>
      <c r="M76" s="218"/>
      <c r="N76" s="218"/>
      <c r="O76" s="218"/>
      <c r="P76" s="218"/>
      <c r="Q76" s="218"/>
      <c r="R76" s="218"/>
      <c r="S76" s="218"/>
      <c r="T76" s="218"/>
      <c r="U76" s="218"/>
      <c r="V76" s="218"/>
      <c r="W76" s="218"/>
      <c r="X76" s="218"/>
      <c r="Y76" s="218"/>
    </row>
  </sheetData>
  <mergeCells count="9">
    <mergeCell ref="B34:Z35"/>
    <mergeCell ref="B27:Y28"/>
    <mergeCell ref="B25:Y26"/>
    <mergeCell ref="U13:Z13"/>
    <mergeCell ref="U14:Z14"/>
    <mergeCell ref="U15:Z15"/>
    <mergeCell ref="U16:Z16"/>
    <mergeCell ref="U17:Z17"/>
    <mergeCell ref="U18:Z18"/>
  </mergeCells>
  <phoneticPr fontId="2" type="noConversion"/>
  <printOptions horizontalCentered="1"/>
  <pageMargins left="0.39370078740157483" right="0.39370078740157483" top="0.59055118110236227" bottom="0.78740157480314965" header="0.51181102362204722" footer="0.19685039370078741"/>
  <pageSetup paperSize="9" scale="94" orientation="portrait" blackAndWhite="1" r:id="rId1"/>
  <headerFooter alignWithMargins="0">
    <oddFooter>&amp;C&amp;G</oddFooter>
  </headerFooter>
  <drawing r:id="rId2"/>
  <legacyDrawingHF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F0AFEF-13E7-4889-B99D-8B1ECEAA5938}">
  <sheetPr codeName="工作表2">
    <tabColor rgb="FFFF0000"/>
  </sheetPr>
  <dimension ref="A1:BS90"/>
  <sheetViews>
    <sheetView view="pageBreakPreview" topLeftCell="A14" zoomScaleNormal="100" zoomScaleSheetLayoutView="100" workbookViewId="0">
      <selection activeCell="P37" sqref="P37:Q37"/>
    </sheetView>
  </sheetViews>
  <sheetFormatPr defaultColWidth="8.75" defaultRowHeight="14.25"/>
  <cols>
    <col min="1" max="26" width="3.75" style="73" customWidth="1"/>
    <col min="27" max="27" width="6.25" style="73" customWidth="1"/>
    <col min="28" max="28" width="14.125" style="73" customWidth="1"/>
    <col min="29" max="29" width="11.125" style="73" customWidth="1"/>
    <col min="30" max="30" width="11.375" style="73" customWidth="1"/>
    <col min="31" max="32" width="12.25" style="73" customWidth="1"/>
    <col min="33" max="33" width="11.125" style="73" customWidth="1"/>
    <col min="34" max="37" width="2.5" style="73" customWidth="1"/>
    <col min="38" max="38" width="18.125" style="73" customWidth="1"/>
    <col min="39" max="43" width="2.5" style="73" customWidth="1"/>
    <col min="44" max="45" width="5.625" style="73" customWidth="1"/>
    <col min="46" max="71" width="5.625" style="77" customWidth="1"/>
    <col min="72" max="75" width="5.625" style="73" customWidth="1"/>
    <col min="76" max="81" width="2.5" style="73" customWidth="1"/>
    <col min="82" max="16384" width="8.75" style="73"/>
  </cols>
  <sheetData>
    <row r="1" spans="1:71" ht="21.95" customHeight="1">
      <c r="AA1" s="73" t="str">
        <f>_xlfn.XLOOKUP(E12,客戶名稱!E:E,客戶名稱!D:D,"",0,1)</f>
        <v>B</v>
      </c>
      <c r="AK1" s="73" t="s">
        <v>241</v>
      </c>
      <c r="AL1" s="73" t="s">
        <v>583</v>
      </c>
    </row>
    <row r="2" spans="1:71" ht="21.95" customHeight="1">
      <c r="J2" s="74"/>
      <c r="K2" s="74"/>
      <c r="L2" s="74"/>
      <c r="M2" s="74"/>
      <c r="N2" s="74"/>
      <c r="O2" s="74"/>
      <c r="P2" s="74"/>
      <c r="Q2" s="74"/>
      <c r="R2" s="74"/>
      <c r="S2" s="74"/>
      <c r="T2" s="74"/>
      <c r="U2" s="74"/>
      <c r="V2" s="74"/>
      <c r="W2" s="74"/>
      <c r="X2" s="74"/>
      <c r="Y2" s="74"/>
      <c r="Z2" s="74"/>
      <c r="AK2" s="73" t="s">
        <v>586</v>
      </c>
      <c r="AL2" s="73" t="s">
        <v>585</v>
      </c>
    </row>
    <row r="3" spans="1:71" ht="21.95" customHeight="1">
      <c r="J3" s="80"/>
      <c r="K3" s="80"/>
      <c r="L3" s="80"/>
      <c r="M3" s="80"/>
      <c r="N3" s="80"/>
      <c r="O3" s="80"/>
      <c r="P3" s="80"/>
      <c r="Q3" s="80"/>
      <c r="R3" s="80"/>
      <c r="S3" s="80"/>
      <c r="T3" s="80"/>
      <c r="U3" s="80"/>
      <c r="V3" s="80"/>
      <c r="W3" s="80"/>
      <c r="X3" s="80"/>
      <c r="Y3" s="80"/>
      <c r="Z3" s="80"/>
      <c r="AE3" s="113"/>
      <c r="AF3" s="86"/>
      <c r="AK3" s="73" t="s">
        <v>587</v>
      </c>
    </row>
    <row r="4" spans="1:71" ht="21.95" customHeight="1">
      <c r="J4" s="80"/>
      <c r="K4" s="80"/>
      <c r="L4" s="80"/>
      <c r="M4" s="80"/>
      <c r="N4" s="80"/>
      <c r="O4" s="80"/>
      <c r="P4" s="80"/>
      <c r="Q4" s="80"/>
      <c r="R4" s="80"/>
      <c r="S4" s="80"/>
      <c r="T4" s="80"/>
      <c r="U4" s="80"/>
      <c r="V4" s="80"/>
      <c r="W4" s="80"/>
      <c r="X4" s="80"/>
      <c r="Y4" s="80"/>
      <c r="Z4" s="80"/>
      <c r="AB4" s="138"/>
      <c r="AE4" s="113"/>
      <c r="AF4" s="86"/>
      <c r="AT4" s="79"/>
      <c r="AU4" s="79"/>
      <c r="AV4" s="79"/>
      <c r="AW4" s="79"/>
      <c r="AX4" s="79"/>
      <c r="AY4" s="79"/>
      <c r="AZ4" s="79"/>
      <c r="BA4" s="79"/>
      <c r="BB4" s="79"/>
      <c r="BC4" s="79"/>
      <c r="BD4" s="79"/>
      <c r="BE4" s="79"/>
      <c r="BF4" s="79"/>
      <c r="BG4" s="79"/>
      <c r="BH4" s="79"/>
      <c r="BI4" s="79"/>
      <c r="BJ4" s="79"/>
      <c r="BK4" s="79"/>
      <c r="BL4" s="79"/>
      <c r="BM4" s="79"/>
      <c r="BN4" s="79"/>
      <c r="BO4" s="79"/>
      <c r="BP4" s="76"/>
      <c r="BQ4" s="76"/>
      <c r="BR4" s="76"/>
      <c r="BS4" s="76"/>
    </row>
    <row r="5" spans="1:71" ht="21.95" customHeight="1">
      <c r="A5" s="303" t="s">
        <v>600</v>
      </c>
      <c r="B5" s="303"/>
      <c r="C5" s="303"/>
      <c r="D5" s="303"/>
      <c r="E5" s="303"/>
      <c r="F5" s="303"/>
      <c r="G5" s="303"/>
      <c r="H5" s="303"/>
      <c r="I5" s="303"/>
      <c r="J5" s="303"/>
      <c r="K5" s="303"/>
      <c r="L5" s="303"/>
      <c r="M5" s="303"/>
      <c r="N5" s="303"/>
      <c r="O5" s="303"/>
      <c r="P5" s="303"/>
      <c r="Q5" s="303"/>
      <c r="R5" s="303"/>
      <c r="S5" s="303"/>
      <c r="T5" s="303"/>
      <c r="U5" s="303"/>
      <c r="V5" s="303"/>
      <c r="W5" s="303"/>
      <c r="X5" s="303"/>
      <c r="Y5" s="303"/>
      <c r="Z5" s="303"/>
      <c r="AT5" s="79"/>
      <c r="AU5" s="79"/>
      <c r="AV5" s="79"/>
      <c r="AW5" s="76"/>
      <c r="AX5" s="76"/>
      <c r="AY5" s="76"/>
      <c r="AZ5" s="76"/>
      <c r="BA5" s="79"/>
      <c r="BB5" s="79"/>
      <c r="BC5" s="79"/>
      <c r="BD5" s="76"/>
      <c r="BE5" s="76"/>
      <c r="BF5" s="76"/>
      <c r="BG5" s="76"/>
      <c r="BH5" s="85"/>
      <c r="BI5" s="85"/>
      <c r="BJ5" s="85"/>
      <c r="BK5" s="85"/>
      <c r="BL5" s="85"/>
      <c r="BM5" s="85"/>
      <c r="BN5" s="85"/>
      <c r="BO5" s="78"/>
      <c r="BP5" s="78"/>
      <c r="BQ5" s="78"/>
      <c r="BR5" s="79"/>
      <c r="BS5" s="79"/>
    </row>
    <row r="6" spans="1:71" ht="21.95" customHeight="1">
      <c r="A6" s="76"/>
      <c r="B6" s="76"/>
      <c r="C6" s="76"/>
      <c r="D6" s="76"/>
      <c r="E6" s="76"/>
      <c r="F6" s="76"/>
      <c r="G6" s="76"/>
      <c r="H6" s="76"/>
      <c r="I6" s="76"/>
      <c r="J6" s="76"/>
      <c r="K6" s="76"/>
      <c r="L6" s="76"/>
      <c r="M6" s="76"/>
      <c r="N6" s="76"/>
      <c r="O6" s="76"/>
      <c r="P6" s="76"/>
      <c r="Q6" s="76"/>
      <c r="R6" s="76"/>
      <c r="S6" s="76"/>
      <c r="T6" s="76"/>
      <c r="U6" s="76"/>
      <c r="V6" s="76"/>
      <c r="W6" s="76"/>
      <c r="X6" s="76"/>
      <c r="Y6" s="76"/>
      <c r="Z6" s="76"/>
      <c r="AB6" s="86" t="str">
        <f>TEXT(J54,"#,#.000 ")&amp;L54&amp;"("&amp;J37&amp;")"&amp;", "&amp;TEXT(M54,"#,#.000 ")&amp;O54&amp;"("&amp;M37&amp;")"&amp;", "&amp;TEXT(P54,"#,# ")&amp;Q54&amp;", comprising of "</f>
        <v xml:space="preserve">1,003.552 MT(Net Weight), 1,007.104 MT(Gross Weight), 136 coils, comprising of </v>
      </c>
      <c r="AE6" s="137"/>
      <c r="AF6" s="137"/>
      <c r="AG6" s="137"/>
      <c r="AH6" s="137"/>
      <c r="AI6" s="137"/>
      <c r="AJ6" s="137"/>
      <c r="AK6" s="137"/>
      <c r="AL6" s="137"/>
      <c r="AM6" s="137"/>
      <c r="AN6" s="137"/>
      <c r="AO6" s="137"/>
      <c r="AP6" s="137"/>
      <c r="AQ6" s="137"/>
      <c r="AT6" s="79"/>
      <c r="AU6" s="79"/>
      <c r="AV6" s="79"/>
      <c r="AW6" s="79"/>
      <c r="AX6" s="79"/>
      <c r="AY6" s="79"/>
      <c r="AZ6" s="79"/>
      <c r="BA6" s="79"/>
      <c r="BB6" s="79"/>
      <c r="BC6" s="79"/>
      <c r="BD6" s="76"/>
      <c r="BE6" s="76"/>
      <c r="BF6" s="76"/>
      <c r="BG6" s="76"/>
      <c r="BH6" s="76"/>
      <c r="BI6" s="76"/>
      <c r="BJ6" s="79"/>
      <c r="BK6" s="79"/>
      <c r="BL6" s="79"/>
      <c r="BM6" s="79"/>
      <c r="BN6" s="79"/>
      <c r="BO6" s="79"/>
      <c r="BP6" s="79"/>
      <c r="BQ6" s="79"/>
      <c r="BR6" s="76"/>
      <c r="BS6" s="76"/>
    </row>
    <row r="7" spans="1:71" s="86" customFormat="1" ht="21.95" customHeight="1">
      <c r="A7" s="304" t="s">
        <v>285</v>
      </c>
      <c r="B7" s="304"/>
      <c r="C7" s="304"/>
      <c r="D7" s="304"/>
      <c r="E7" s="305">
        <v>24301117</v>
      </c>
      <c r="F7" s="305"/>
      <c r="G7" s="305"/>
      <c r="H7" s="305"/>
      <c r="I7" s="305"/>
      <c r="J7" s="143"/>
      <c r="K7" s="143"/>
      <c r="L7" s="143"/>
      <c r="M7" s="143"/>
      <c r="N7" s="143"/>
      <c r="O7" s="298" t="s">
        <v>45</v>
      </c>
      <c r="P7" s="298"/>
      <c r="Q7" s="298"/>
      <c r="R7" s="298"/>
      <c r="S7" s="306" t="s">
        <v>291</v>
      </c>
      <c r="T7" s="306"/>
      <c r="U7" s="306"/>
      <c r="V7" s="306"/>
      <c r="W7" s="306"/>
      <c r="X7" s="306"/>
      <c r="Y7" s="306"/>
      <c r="Z7" s="306"/>
      <c r="AF7" s="112"/>
      <c r="AH7" s="112"/>
      <c r="AJ7" s="112"/>
      <c r="AL7" s="112"/>
      <c r="AN7" s="112"/>
      <c r="AT7" s="87"/>
      <c r="AU7" s="87"/>
      <c r="AV7" s="87"/>
      <c r="AW7" s="87"/>
      <c r="AX7" s="87"/>
      <c r="AY7" s="87"/>
      <c r="AZ7" s="87"/>
      <c r="BA7" s="87"/>
      <c r="BB7" s="87"/>
      <c r="BC7" s="87"/>
      <c r="BD7" s="87"/>
      <c r="BE7" s="87"/>
      <c r="BF7" s="83"/>
      <c r="BG7" s="83"/>
      <c r="BH7" s="83"/>
      <c r="BI7" s="83"/>
      <c r="BJ7" s="83"/>
      <c r="BK7" s="83"/>
      <c r="BL7" s="83"/>
      <c r="BM7" s="83"/>
      <c r="BN7" s="83"/>
      <c r="BO7" s="83"/>
      <c r="BP7" s="83"/>
      <c r="BQ7" s="83"/>
      <c r="BR7" s="83"/>
      <c r="BS7" s="83"/>
    </row>
    <row r="8" spans="1:71" s="86" customFormat="1" ht="21.95" customHeight="1">
      <c r="A8" s="310" t="s">
        <v>26</v>
      </c>
      <c r="B8" s="310"/>
      <c r="C8" s="310"/>
      <c r="D8" s="310"/>
      <c r="E8" s="305" t="s">
        <v>676</v>
      </c>
      <c r="F8" s="305"/>
      <c r="G8" s="305"/>
      <c r="H8" s="305"/>
      <c r="I8" s="305"/>
      <c r="J8" s="305"/>
      <c r="K8" s="305"/>
      <c r="L8" s="305"/>
      <c r="M8" s="305"/>
      <c r="N8" s="305"/>
      <c r="O8" s="122"/>
      <c r="P8" s="122"/>
      <c r="Q8" s="122" t="s">
        <v>28</v>
      </c>
      <c r="R8" s="122"/>
      <c r="S8" s="306" t="str">
        <f>IF(O30=O26,TEXT(O30,"mmmm dd, yyyy"),IF(TEXT(O30,"mmmm")=TEXT(O26,"mmmm"),TEXT(O26,"mmmm dd")&amp;"~"&amp;TEXT(O30,"dd, yyyy"),TEXT(O26,"mmmm dd")&amp;"~"&amp;TEXT(O30,"mmmm dd, yyyy")))</f>
        <v>April 03, 2024</v>
      </c>
      <c r="T8" s="306"/>
      <c r="U8" s="306"/>
      <c r="V8" s="306"/>
      <c r="W8" s="306"/>
      <c r="X8" s="306"/>
      <c r="Y8" s="306"/>
      <c r="Z8" s="306"/>
      <c r="AB8" s="86" t="str">
        <f>"In accordance with the instructions received, we attended on "&amp;S8&amp;", alongside M/V "&amp;E8&amp;" whilst berthed at Wharf No. "&amp;E9&amp;", port of Kaohsiung, for the purpose of conducting the loading survey of the below consignment, and we report as follows :- "</f>
        <v xml:space="preserve">In accordance with the instructions received, we attended on April 03, 2024, alongside M/V "XXXXXXX" V-1234 whilst berthed at Wharf No. 35, port of Kaohsiung, for the purpose of conducting the loading survey of the below consignment, and we report as follows :- </v>
      </c>
      <c r="AF8" s="112"/>
      <c r="AH8" s="112"/>
      <c r="AJ8" s="112"/>
      <c r="AL8" s="112"/>
      <c r="AN8" s="112"/>
      <c r="AT8" s="91"/>
      <c r="AU8" s="91"/>
      <c r="AV8" s="91"/>
      <c r="AW8" s="89"/>
      <c r="AX8" s="83"/>
      <c r="AY8" s="83"/>
      <c r="AZ8" s="83"/>
      <c r="BA8" s="83"/>
      <c r="BB8" s="83"/>
      <c r="BC8" s="83"/>
      <c r="BD8" s="83"/>
      <c r="BE8" s="83"/>
      <c r="BF8" s="83"/>
      <c r="BG8" s="83"/>
      <c r="BH8" s="83"/>
      <c r="BI8" s="83"/>
      <c r="BJ8" s="83"/>
      <c r="BK8" s="83"/>
      <c r="BL8" s="83"/>
      <c r="BM8" s="83"/>
      <c r="BN8" s="83"/>
      <c r="BO8" s="83"/>
      <c r="BP8" s="83"/>
      <c r="BQ8" s="83"/>
      <c r="BR8" s="83"/>
      <c r="BS8" s="83"/>
    </row>
    <row r="9" spans="1:71" s="86" customFormat="1" ht="21.95" customHeight="1" thickBot="1">
      <c r="A9" s="304" t="s">
        <v>747</v>
      </c>
      <c r="B9" s="304"/>
      <c r="C9" s="304"/>
      <c r="D9" s="304"/>
      <c r="E9" s="305">
        <v>35</v>
      </c>
      <c r="F9" s="305"/>
      <c r="G9" s="305"/>
      <c r="H9" s="305"/>
      <c r="I9" s="305"/>
      <c r="J9" s="305"/>
      <c r="K9" s="305"/>
      <c r="L9" s="305"/>
      <c r="M9" s="83"/>
      <c r="N9" s="83"/>
      <c r="S9" s="122" t="s">
        <v>649</v>
      </c>
      <c r="T9" s="250"/>
      <c r="U9" s="250"/>
      <c r="V9" s="295"/>
      <c r="W9" s="295"/>
      <c r="X9" s="295"/>
      <c r="Y9" s="295"/>
      <c r="Z9" s="295"/>
      <c r="AB9" s="86" t="str">
        <f>"Per M.V. "&amp;E8&amp;" from "&amp;G13&amp;" to "&amp;G14</f>
        <v>Per M.V. "XXXXXXX" V-1234 from Kaohsiung Taiwan Port to Ravenna port, Italy</v>
      </c>
      <c r="AT9" s="91"/>
      <c r="AU9" s="91"/>
      <c r="AV9" s="91"/>
      <c r="AW9" s="83"/>
      <c r="AX9" s="83"/>
      <c r="AY9" s="83"/>
      <c r="AZ9" s="83"/>
      <c r="BA9" s="83"/>
      <c r="BB9" s="83"/>
      <c r="BC9" s="83"/>
      <c r="BD9" s="83"/>
      <c r="BE9" s="83"/>
      <c r="BF9" s="83"/>
      <c r="BG9" s="83"/>
      <c r="BH9" s="83"/>
      <c r="BI9" s="83"/>
      <c r="BJ9" s="83"/>
      <c r="BK9" s="83"/>
      <c r="BL9" s="83"/>
      <c r="BM9" s="83"/>
      <c r="BN9" s="83"/>
      <c r="BO9" s="83"/>
      <c r="BP9" s="83"/>
      <c r="BQ9" s="83"/>
      <c r="BR9" s="83"/>
      <c r="BS9" s="83"/>
    </row>
    <row r="10" spans="1:71" s="86" customFormat="1" ht="21.95" customHeight="1" thickBot="1">
      <c r="A10" s="310" t="s">
        <v>27</v>
      </c>
      <c r="B10" s="310"/>
      <c r="C10" s="310"/>
      <c r="D10" s="310"/>
      <c r="E10" s="313" t="s">
        <v>241</v>
      </c>
      <c r="F10" s="314"/>
      <c r="G10" s="314"/>
      <c r="H10" s="315"/>
      <c r="I10" s="246" t="str">
        <f>_xlfn.XLOOKUP(E10,客戶名稱!A:A,客戶名稱!B:B,"",0,1)</f>
        <v>Yieh United Steel Corporation</v>
      </c>
      <c r="J10" s="247"/>
      <c r="K10" s="247"/>
      <c r="L10" s="247"/>
      <c r="M10" s="247"/>
      <c r="N10" s="247"/>
      <c r="O10" s="247"/>
      <c r="P10" s="247"/>
      <c r="Q10" s="247"/>
      <c r="R10" s="247"/>
      <c r="S10" s="122" t="s">
        <v>650</v>
      </c>
      <c r="T10" s="122"/>
      <c r="U10" s="122"/>
      <c r="V10" s="295" t="s">
        <v>651</v>
      </c>
      <c r="W10" s="295"/>
      <c r="X10" s="295"/>
      <c r="Y10" s="295"/>
      <c r="Z10" s="295"/>
      <c r="AC10" s="206" t="str" cm="1">
        <f t="array" ref="AC10">_xlfn.XLOOKUP(1,(客戶名稱!C:C=E10)*(客戶名稱!D:D=AA1)*(客戶名稱!E:E=E12),客戶名稱!F:F,"",0,1)</f>
        <v>C.P.C. Inox Spa</v>
      </c>
      <c r="AT10" s="91"/>
      <c r="AU10" s="91"/>
      <c r="AV10" s="91"/>
      <c r="AW10" s="83"/>
      <c r="AX10" s="83"/>
      <c r="AY10" s="83"/>
      <c r="AZ10" s="83"/>
      <c r="BA10" s="83"/>
      <c r="BB10" s="83"/>
      <c r="BC10" s="83"/>
      <c r="BD10" s="83"/>
      <c r="BE10" s="83"/>
      <c r="BF10" s="83"/>
      <c r="BG10" s="83"/>
      <c r="BH10" s="83"/>
      <c r="BI10" s="83"/>
      <c r="BJ10" s="83"/>
      <c r="BK10" s="83"/>
      <c r="BL10" s="83"/>
      <c r="BM10" s="83"/>
      <c r="BN10" s="83"/>
      <c r="BO10" s="83"/>
      <c r="BP10" s="83"/>
      <c r="BQ10" s="83"/>
      <c r="BR10" s="83"/>
      <c r="BS10" s="83"/>
    </row>
    <row r="11" spans="1:71" s="86" customFormat="1" ht="21.95" customHeight="1" thickBot="1">
      <c r="A11" s="123" t="s">
        <v>31</v>
      </c>
      <c r="B11" s="123"/>
      <c r="C11" s="123"/>
      <c r="D11" s="123"/>
      <c r="E11" s="313"/>
      <c r="F11" s="314"/>
      <c r="G11" s="314"/>
      <c r="H11" s="315"/>
      <c r="I11" s="248"/>
      <c r="J11" s="249"/>
      <c r="K11" s="249"/>
      <c r="L11" s="249"/>
      <c r="M11" s="249"/>
      <c r="N11" s="249"/>
      <c r="O11" s="249"/>
      <c r="P11" s="249"/>
      <c r="Q11" s="249"/>
      <c r="R11" s="249"/>
      <c r="S11" s="122" t="s">
        <v>652</v>
      </c>
      <c r="T11" s="122"/>
      <c r="U11" s="122"/>
      <c r="V11" s="295" t="s">
        <v>651</v>
      </c>
      <c r="W11" s="295"/>
      <c r="X11" s="295"/>
      <c r="Y11" s="295"/>
      <c r="Z11" s="295"/>
      <c r="AC11" s="206" t="str" cm="1">
        <f t="array" ref="AC11">_xlfn.XLOOKUP(1,(客戶名稱!C:C=E10)*(客戶名稱!D:D=AA1)*(客戶名稱!E:E=E12),客戶名稱!F:F,"",0,-1)</f>
        <v>C.P.C. Inox Spa</v>
      </c>
      <c r="AT11" s="83"/>
      <c r="AU11" s="83"/>
      <c r="AV11" s="83"/>
      <c r="AW11" s="89"/>
      <c r="AX11" s="83"/>
      <c r="AY11" s="83"/>
      <c r="AZ11" s="83"/>
      <c r="BA11" s="83"/>
      <c r="BB11" s="83"/>
      <c r="BC11" s="83"/>
      <c r="BD11" s="83"/>
      <c r="BE11" s="83"/>
      <c r="BF11" s="83"/>
      <c r="BG11" s="83"/>
      <c r="BH11" s="83"/>
      <c r="BI11" s="83"/>
      <c r="BJ11" s="83"/>
      <c r="BK11" s="83"/>
      <c r="BL11" s="83"/>
      <c r="BM11" s="83"/>
      <c r="BN11" s="83"/>
      <c r="BO11" s="83"/>
      <c r="BP11" s="83"/>
      <c r="BQ11" s="83"/>
      <c r="BR11" s="83"/>
      <c r="BS11" s="83"/>
    </row>
    <row r="12" spans="1:71" s="86" customFormat="1" ht="21.95" customHeight="1" thickBot="1">
      <c r="A12" s="310" t="s">
        <v>29</v>
      </c>
      <c r="B12" s="310"/>
      <c r="C12" s="310"/>
      <c r="D12" s="310"/>
      <c r="E12" s="326" t="s">
        <v>597</v>
      </c>
      <c r="F12" s="327"/>
      <c r="G12" s="327"/>
      <c r="H12" s="328"/>
      <c r="I12" s="246" t="s">
        <v>596</v>
      </c>
      <c r="J12" s="247"/>
      <c r="K12" s="247"/>
      <c r="L12" s="247"/>
      <c r="M12" s="247"/>
      <c r="N12" s="247"/>
      <c r="O12" s="247"/>
      <c r="P12" s="247"/>
      <c r="Q12" s="247"/>
      <c r="R12" s="247"/>
      <c r="S12" s="297" t="s">
        <v>653</v>
      </c>
      <c r="T12" s="298"/>
      <c r="U12" s="298"/>
      <c r="V12" s="295" t="s">
        <v>654</v>
      </c>
      <c r="W12" s="295"/>
      <c r="X12" s="295"/>
      <c r="Y12" s="295"/>
      <c r="Z12" s="295"/>
      <c r="AB12" s="112" t="s">
        <v>243</v>
      </c>
      <c r="AC12" s="206" t="str" cm="1">
        <f t="array" ref="AC12">_xlfn.XLOOKUP(1,(客戶名稱!C:C=E10)*(客戶名稱!D:D=AA1)*(客戶名稱!E:E=E12),客戶名稱!I:I,"",0,1)</f>
        <v>Ravenna port, Italy</v>
      </c>
      <c r="AT12" s="93"/>
      <c r="AU12" s="93"/>
      <c r="AV12" s="93"/>
      <c r="AW12" s="93"/>
      <c r="AX12" s="93"/>
      <c r="AY12" s="93"/>
      <c r="AZ12" s="93"/>
      <c r="BA12" s="93"/>
      <c r="BB12" s="93"/>
      <c r="BC12" s="83"/>
      <c r="BD12" s="83"/>
      <c r="BE12" s="83"/>
      <c r="BF12" s="83"/>
      <c r="BG12" s="83"/>
      <c r="BH12" s="83"/>
      <c r="BI12" s="83"/>
      <c r="BJ12" s="83"/>
      <c r="BK12" s="83"/>
      <c r="BL12" s="83"/>
      <c r="BM12" s="83"/>
      <c r="BN12" s="83"/>
      <c r="BO12" s="83"/>
      <c r="BP12" s="83"/>
      <c r="BQ12" s="83"/>
      <c r="BR12" s="83"/>
      <c r="BS12" s="83"/>
    </row>
    <row r="13" spans="1:71" s="86" customFormat="1" ht="21.95" customHeight="1" thickBot="1">
      <c r="A13" s="121" t="s">
        <v>67</v>
      </c>
      <c r="B13" s="121"/>
      <c r="C13" s="121"/>
      <c r="D13" s="121"/>
      <c r="E13" s="83"/>
      <c r="F13" s="83"/>
      <c r="G13" s="305" t="s">
        <v>242</v>
      </c>
      <c r="H13" s="305"/>
      <c r="I13" s="305"/>
      <c r="J13" s="305"/>
      <c r="K13" s="305"/>
      <c r="L13" s="305"/>
      <c r="M13" s="305"/>
      <c r="N13" s="305"/>
      <c r="O13" s="122" t="s">
        <v>656</v>
      </c>
      <c r="P13" s="121"/>
      <c r="Q13" s="121"/>
      <c r="R13" s="251" t="s">
        <v>44</v>
      </c>
      <c r="S13" s="298" t="s">
        <v>655</v>
      </c>
      <c r="T13" s="298"/>
      <c r="U13" s="298"/>
      <c r="V13" s="295">
        <v>35</v>
      </c>
      <c r="W13" s="295"/>
      <c r="X13" s="295"/>
      <c r="Y13" s="295"/>
      <c r="Z13" s="295"/>
      <c r="AC13" s="206" t="str" cm="1">
        <f t="array" ref="AC13">_xlfn.XLOOKUP(1,(客戶名稱!C:C=E10)*(客戶名稱!D:D=AA1)*(客戶名稱!E:E=E12),客戶名稱!I:I,"",0,-1)</f>
        <v>Ravenna port, Italy</v>
      </c>
      <c r="AT13" s="83"/>
      <c r="AU13" s="94"/>
      <c r="AV13" s="94"/>
      <c r="AW13" s="91"/>
      <c r="AX13" s="91"/>
      <c r="AY13" s="91"/>
      <c r="AZ13" s="91"/>
      <c r="BA13" s="91"/>
      <c r="BB13" s="91"/>
      <c r="BC13" s="91"/>
      <c r="BD13" s="91"/>
      <c r="BE13" s="91"/>
      <c r="BF13" s="91"/>
      <c r="BG13" s="91"/>
      <c r="BH13" s="83"/>
      <c r="BI13" s="83"/>
      <c r="BJ13" s="83"/>
      <c r="BK13" s="83"/>
      <c r="BL13" s="83"/>
      <c r="BM13" s="83"/>
      <c r="BN13" s="83"/>
      <c r="BO13" s="83"/>
      <c r="BP13" s="83"/>
      <c r="BQ13" s="83"/>
      <c r="BR13" s="83"/>
      <c r="BS13" s="83"/>
    </row>
    <row r="14" spans="1:71" s="86" customFormat="1" ht="21.95" customHeight="1" thickBot="1">
      <c r="A14" s="124" t="s">
        <v>68</v>
      </c>
      <c r="B14" s="124"/>
      <c r="C14" s="124"/>
      <c r="D14" s="124"/>
      <c r="E14" s="83"/>
      <c r="F14" s="83"/>
      <c r="G14" s="311" t="str">
        <f>AC12</f>
        <v>Ravenna port, Italy</v>
      </c>
      <c r="H14" s="311"/>
      <c r="I14" s="311"/>
      <c r="J14" s="311"/>
      <c r="K14" s="311"/>
      <c r="L14" s="311"/>
      <c r="M14" s="311"/>
      <c r="N14" s="311"/>
      <c r="O14" s="122" t="s">
        <v>657</v>
      </c>
      <c r="P14" s="83"/>
      <c r="Q14" s="83"/>
      <c r="R14" s="251" t="s">
        <v>658</v>
      </c>
      <c r="T14" s="122"/>
      <c r="W14" s="122"/>
      <c r="Y14" s="122"/>
      <c r="Z14" s="122"/>
      <c r="AB14" s="112" t="s">
        <v>244</v>
      </c>
      <c r="AC14" s="206" t="str" cm="1">
        <f t="array" ref="AC14">_xlfn.XLOOKUP(1,(客戶名稱!C:C=E10)*(客戶名稱!D:D=AA1)*(客戶名稱!E:E=E12),客戶名稱!G:G,"",0,1)</f>
        <v>STAINLESS STEEL HOT ROLLED COILS, DIN EN 10088-4 1.4301/1.4307, NO.1 FINISH MILL EDGE</v>
      </c>
      <c r="AT14" s="83"/>
      <c r="AU14" s="94"/>
      <c r="AV14" s="94"/>
      <c r="AW14" s="108"/>
      <c r="AX14" s="108"/>
      <c r="AY14" s="108"/>
      <c r="AZ14" s="108"/>
      <c r="BA14" s="108"/>
      <c r="BB14" s="108"/>
      <c r="BC14" s="108"/>
      <c r="BD14" s="108"/>
      <c r="BE14" s="108"/>
      <c r="BF14" s="108"/>
      <c r="BG14" s="108"/>
      <c r="BH14" s="83"/>
      <c r="BI14" s="83"/>
      <c r="BJ14" s="83"/>
      <c r="BK14" s="83"/>
      <c r="BL14" s="83"/>
      <c r="BM14" s="83"/>
      <c r="BN14" s="83"/>
      <c r="BO14" s="83"/>
      <c r="BP14" s="83"/>
      <c r="BQ14" s="83"/>
      <c r="BR14" s="83"/>
      <c r="BS14" s="83"/>
    </row>
    <row r="15" spans="1:71" s="86" customFormat="1" ht="21.95" customHeight="1" thickBot="1">
      <c r="A15" s="133"/>
      <c r="B15" s="133"/>
      <c r="C15" s="133"/>
      <c r="D15" s="133"/>
      <c r="E15" s="83"/>
      <c r="F15" s="83"/>
      <c r="G15" s="108"/>
      <c r="H15" s="108"/>
      <c r="I15" s="108"/>
      <c r="J15" s="108"/>
      <c r="K15" s="108"/>
      <c r="L15" s="108"/>
      <c r="M15" s="108"/>
      <c r="N15" s="108"/>
      <c r="O15" s="83"/>
      <c r="P15" s="83"/>
      <c r="Q15" s="83"/>
      <c r="R15" s="251" t="s">
        <v>658</v>
      </c>
      <c r="S15" s="299" t="s">
        <v>659</v>
      </c>
      <c r="T15" s="300"/>
      <c r="U15" s="300"/>
      <c r="V15" s="300"/>
      <c r="W15" s="300"/>
      <c r="X15" s="300"/>
      <c r="Y15" s="300"/>
      <c r="Z15" s="300"/>
      <c r="AB15" s="112"/>
      <c r="AC15" s="206" t="str" cm="1">
        <f t="array" ref="AC15">_xlfn.XLOOKUP(1,(客戶名稱!C:C=E10)*(客戶名稱!D:D=AA1)*(客戶名稱!E:E=E12),客戶名稱!G:G,"",0,-1)</f>
        <v>STAINLESS STEEL HOT ROLLED COILS, DIN EN 10088-4 1.4301/1.4307, NO.1 FINISH MILL EDGE</v>
      </c>
      <c r="AT15" s="83"/>
      <c r="AU15" s="94"/>
      <c r="AV15" s="94"/>
      <c r="AW15" s="108"/>
      <c r="AX15" s="108"/>
      <c r="AY15" s="108"/>
      <c r="AZ15" s="108"/>
      <c r="BA15" s="108"/>
      <c r="BB15" s="108"/>
      <c r="BC15" s="108"/>
      <c r="BD15" s="108"/>
      <c r="BE15" s="108"/>
      <c r="BF15" s="108"/>
      <c r="BG15" s="108"/>
      <c r="BH15" s="83"/>
      <c r="BI15" s="83"/>
      <c r="BJ15" s="83"/>
      <c r="BK15" s="83"/>
      <c r="BL15" s="83"/>
      <c r="BM15" s="83"/>
      <c r="BN15" s="83"/>
      <c r="BO15" s="83"/>
      <c r="BP15" s="83"/>
      <c r="BQ15" s="83"/>
      <c r="BR15" s="83"/>
      <c r="BS15" s="83"/>
    </row>
    <row r="16" spans="1:71" s="86" customFormat="1" ht="21.95" customHeight="1">
      <c r="A16" s="322" t="s">
        <v>260</v>
      </c>
      <c r="B16" s="322"/>
      <c r="C16" s="322"/>
      <c r="D16" s="322"/>
      <c r="E16" s="312" t="str">
        <f>AC14</f>
        <v>STAINLESS STEEL HOT ROLLED COILS, DIN EN 10088-4 1.4301/1.4307, NO.1 FINISH MILL EDGE</v>
      </c>
      <c r="F16" s="312"/>
      <c r="G16" s="312"/>
      <c r="H16" s="312"/>
      <c r="I16" s="312"/>
      <c r="J16" s="312"/>
      <c r="K16" s="312"/>
      <c r="L16" s="312"/>
      <c r="M16" s="312"/>
      <c r="N16" s="312"/>
      <c r="O16" s="312"/>
      <c r="P16" s="312"/>
      <c r="Q16" s="312"/>
      <c r="R16" s="312"/>
      <c r="S16" s="312"/>
      <c r="T16" s="312"/>
      <c r="U16" s="312"/>
      <c r="V16" s="312"/>
      <c r="W16" s="312"/>
      <c r="X16" s="312"/>
      <c r="Y16" s="312"/>
      <c r="Z16" s="312"/>
      <c r="AB16" s="112" t="s">
        <v>245</v>
      </c>
      <c r="AC16" s="206" t="str" cm="1">
        <f t="array" ref="AC16">_xlfn.XLOOKUP(1,(客戶名稱!C:C=E10)*(客戶名稱!D:D=AA1)*(客戶名稱!E:E=E12),客戶名稱!K:K,"",0,1)</f>
        <v>Coils revealed to be labelled with the wording “--------, C.P.C. Inox Spa, Ravenna, Italy, CPC No., No., Made in Taiwan, etc.” at one side and on core package respectively.</v>
      </c>
      <c r="AT16" s="83"/>
      <c r="AU16" s="94"/>
      <c r="AV16" s="94"/>
      <c r="AW16" s="108"/>
      <c r="AX16" s="108"/>
      <c r="AY16" s="108"/>
      <c r="AZ16" s="108"/>
      <c r="BA16" s="108"/>
      <c r="BB16" s="108"/>
      <c r="BC16" s="108"/>
      <c r="BD16" s="108"/>
      <c r="BE16" s="108"/>
      <c r="BF16" s="108"/>
      <c r="BG16" s="108"/>
      <c r="BH16" s="83"/>
      <c r="BI16" s="83"/>
      <c r="BJ16" s="83"/>
      <c r="BK16" s="83"/>
      <c r="BL16" s="83"/>
      <c r="BM16" s="83"/>
      <c r="BN16" s="83"/>
      <c r="BO16" s="83"/>
      <c r="BP16" s="83"/>
      <c r="BQ16" s="83"/>
      <c r="BR16" s="83"/>
      <c r="BS16" s="83"/>
    </row>
    <row r="17" spans="1:71" s="86" customFormat="1" ht="21.95" customHeight="1">
      <c r="A17" s="133"/>
      <c r="B17" s="133"/>
      <c r="C17" s="133"/>
      <c r="D17" s="133"/>
      <c r="E17" s="83"/>
      <c r="F17" s="83"/>
      <c r="G17" s="108"/>
      <c r="H17" s="108"/>
      <c r="I17" s="108"/>
      <c r="J17" s="108"/>
      <c r="K17" s="108"/>
      <c r="L17" s="108"/>
      <c r="M17" s="108"/>
      <c r="N17" s="108"/>
      <c r="O17" s="83"/>
      <c r="P17" s="83"/>
      <c r="Q17" s="83"/>
      <c r="R17" s="122"/>
      <c r="S17" s="122"/>
      <c r="T17" s="122"/>
      <c r="U17" s="122"/>
      <c r="V17" s="122"/>
      <c r="W17" s="122"/>
      <c r="X17" s="122"/>
      <c r="Y17" s="122"/>
      <c r="Z17" s="122"/>
      <c r="AB17" s="112"/>
      <c r="AC17" s="206" t="str" cm="1">
        <f t="array" ref="AC17">_xlfn.XLOOKUP(1,(客戶名稱!C:C=E10)*(客戶名稱!D:D=AA1)*(客戶名稱!E:E=E12),客戶名稱!K:K,"",0,-1)</f>
        <v>Coils revealed to be labelled with the wording “--------, C.P.C. Inox Spa, Ravenna, Italy, CPC No., No., Made in Taiwan, etc.” at one side and on core package respectively.</v>
      </c>
      <c r="AT17" s="83"/>
      <c r="AU17" s="94"/>
      <c r="AV17" s="94"/>
      <c r="AW17" s="108"/>
      <c r="AX17" s="108"/>
      <c r="AY17" s="108"/>
      <c r="AZ17" s="108"/>
      <c r="BA17" s="108"/>
      <c r="BB17" s="108"/>
      <c r="BC17" s="108"/>
      <c r="BD17" s="108"/>
      <c r="BE17" s="108"/>
      <c r="BF17" s="108"/>
      <c r="BG17" s="108"/>
      <c r="BH17" s="83"/>
      <c r="BI17" s="83"/>
      <c r="BJ17" s="83"/>
      <c r="BK17" s="83"/>
      <c r="BL17" s="83"/>
      <c r="BM17" s="83"/>
      <c r="BN17" s="83"/>
      <c r="BO17" s="83"/>
      <c r="BP17" s="83"/>
      <c r="BQ17" s="83"/>
      <c r="BR17" s="83"/>
      <c r="BS17" s="83"/>
    </row>
    <row r="18" spans="1:71" s="86" customFormat="1" ht="21.95" customHeight="1">
      <c r="A18" s="322" t="s">
        <v>35</v>
      </c>
      <c r="B18" s="322"/>
      <c r="C18" s="322"/>
      <c r="D18" s="322"/>
      <c r="E18" s="316" t="str">
        <f>AC16</f>
        <v>Coils revealed to be labelled with the wording “--------, C.P.C. Inox Spa, Ravenna, Italy, CPC No., No., Made in Taiwan, etc.” at one side and on core package respectively.</v>
      </c>
      <c r="F18" s="316"/>
      <c r="G18" s="316"/>
      <c r="H18" s="316"/>
      <c r="I18" s="316"/>
      <c r="J18" s="316"/>
      <c r="K18" s="316"/>
      <c r="L18" s="316"/>
      <c r="M18" s="316"/>
      <c r="N18" s="316"/>
      <c r="O18" s="316"/>
      <c r="P18" s="316"/>
      <c r="Q18" s="316"/>
      <c r="R18" s="316"/>
      <c r="S18" s="316"/>
      <c r="T18" s="316"/>
      <c r="U18" s="316"/>
      <c r="V18" s="316"/>
      <c r="W18" s="316"/>
      <c r="X18" s="316"/>
      <c r="Y18" s="316"/>
      <c r="Z18" s="316"/>
      <c r="AC18" s="206" t="str" cm="1">
        <f t="array" ref="AC18">_xlfn.XLOOKUP(1,(客戶名稱!C:C=E10)*(客戶名稱!D:D=AA1)*(客戶名稱!E:E=E12),客戶名稱!K:K,"",0,-1)</f>
        <v>Coils revealed to be labelled with the wording “--------, C.P.C. Inox Spa, Ravenna, Italy, CPC No., No., Made in Taiwan, etc.” at one side and on core package respectively.</v>
      </c>
      <c r="AT18" s="83"/>
      <c r="AU18" s="83"/>
      <c r="AV18" s="83"/>
      <c r="AW18" s="83"/>
      <c r="AX18" s="83"/>
      <c r="AY18" s="91"/>
      <c r="AZ18" s="91"/>
      <c r="BA18" s="91"/>
      <c r="BB18" s="91"/>
      <c r="BC18" s="91"/>
      <c r="BD18" s="91"/>
      <c r="BE18" s="91"/>
      <c r="BF18" s="91"/>
      <c r="BG18" s="91"/>
      <c r="BH18" s="91"/>
      <c r="BI18" s="91"/>
      <c r="BJ18" s="91"/>
      <c r="BK18" s="91"/>
      <c r="BL18" s="91"/>
      <c r="BM18" s="91"/>
      <c r="BN18" s="91"/>
      <c r="BO18" s="91"/>
      <c r="BP18" s="91"/>
      <c r="BQ18" s="91"/>
      <c r="BR18" s="91"/>
      <c r="BS18" s="91"/>
    </row>
    <row r="19" spans="1:71" s="86" customFormat="1" ht="21.95" customHeight="1">
      <c r="A19" s="133"/>
      <c r="B19" s="133"/>
      <c r="C19" s="133"/>
      <c r="D19" s="133"/>
      <c r="E19" s="316"/>
      <c r="F19" s="316"/>
      <c r="G19" s="316"/>
      <c r="H19" s="316"/>
      <c r="I19" s="316"/>
      <c r="J19" s="316"/>
      <c r="K19" s="316"/>
      <c r="L19" s="316"/>
      <c r="M19" s="316"/>
      <c r="N19" s="316"/>
      <c r="O19" s="316"/>
      <c r="P19" s="316"/>
      <c r="Q19" s="316"/>
      <c r="R19" s="316"/>
      <c r="S19" s="316"/>
      <c r="T19" s="316"/>
      <c r="U19" s="316"/>
      <c r="V19" s="316"/>
      <c r="W19" s="316"/>
      <c r="X19" s="316"/>
      <c r="Y19" s="316"/>
      <c r="Z19" s="316"/>
      <c r="AT19" s="83"/>
      <c r="AU19" s="83"/>
      <c r="AV19" s="83"/>
      <c r="AW19" s="83"/>
      <c r="AX19" s="83"/>
      <c r="AY19" s="108"/>
      <c r="AZ19" s="108"/>
      <c r="BA19" s="108"/>
      <c r="BB19" s="108"/>
      <c r="BC19" s="108"/>
      <c r="BD19" s="108"/>
      <c r="BE19" s="108"/>
      <c r="BF19" s="108"/>
      <c r="BG19" s="108"/>
      <c r="BH19" s="108"/>
      <c r="BI19" s="108"/>
      <c r="BJ19" s="108"/>
      <c r="BK19" s="108"/>
      <c r="BL19" s="108"/>
      <c r="BM19" s="108"/>
      <c r="BN19" s="108"/>
      <c r="BO19" s="108"/>
      <c r="BP19" s="108"/>
      <c r="BQ19" s="108"/>
      <c r="BR19" s="108"/>
      <c r="BS19" s="108"/>
    </row>
    <row r="20" spans="1:71" s="86" customFormat="1" ht="21.95" customHeight="1">
      <c r="A20" s="322" t="s">
        <v>33</v>
      </c>
      <c r="B20" s="322"/>
      <c r="C20" s="322"/>
      <c r="D20" s="322"/>
      <c r="E20" s="316" t="str">
        <f>AC20</f>
        <v>Each horizontal coil wrapped in a moisture-resistance plasticized Kraft envelope with circumferential metal sheet, both side cardboard discs, and four outer and core protection steel rings, then secured with 3 cycle flat plastic bands as well as 2 radial flat metal strapping bands.</v>
      </c>
      <c r="F20" s="316"/>
      <c r="G20" s="316"/>
      <c r="H20" s="316"/>
      <c r="I20" s="316"/>
      <c r="J20" s="316"/>
      <c r="K20" s="316"/>
      <c r="L20" s="316"/>
      <c r="M20" s="316"/>
      <c r="N20" s="316"/>
      <c r="O20" s="316"/>
      <c r="P20" s="316"/>
      <c r="Q20" s="316"/>
      <c r="R20" s="316"/>
      <c r="S20" s="316"/>
      <c r="T20" s="316"/>
      <c r="U20" s="316"/>
      <c r="V20" s="316"/>
      <c r="W20" s="316"/>
      <c r="X20" s="316"/>
      <c r="Y20" s="316"/>
      <c r="Z20" s="316"/>
      <c r="AB20" s="112" t="s">
        <v>255</v>
      </c>
      <c r="AC20" s="207" t="str">
        <f>IF(A23=AB22,_xlfn.XLOOKUP(I23,AC22:AC24,AD22:AD24,"",0,1),IF(A23=AB25,AD25,IF(A23=AB26,AD26,"???")))</f>
        <v>Each horizontal coil wrapped in a moisture-resistance plasticized Kraft envelope with circumferential metal sheet, both side cardboard discs, and four outer and core protection steel rings, then secured with 3 cycle flat plastic bands as well as 2 radial flat metal strapping bands.</v>
      </c>
      <c r="AT20" s="83"/>
      <c r="AU20" s="83"/>
      <c r="AV20" s="83"/>
      <c r="AW20" s="83"/>
      <c r="AX20" s="83"/>
      <c r="AY20" s="108"/>
      <c r="AZ20" s="108"/>
      <c r="BA20" s="108"/>
      <c r="BB20" s="108"/>
      <c r="BC20" s="108"/>
      <c r="BD20" s="108"/>
      <c r="BE20" s="108"/>
      <c r="BF20" s="108"/>
      <c r="BG20" s="108"/>
      <c r="BH20" s="108"/>
      <c r="BI20" s="108"/>
      <c r="BJ20" s="108"/>
      <c r="BK20" s="108"/>
      <c r="BL20" s="108"/>
      <c r="BM20" s="108"/>
      <c r="BN20" s="108"/>
      <c r="BO20" s="108"/>
      <c r="BP20" s="108"/>
      <c r="BQ20" s="108"/>
      <c r="BR20" s="108"/>
      <c r="BS20" s="108"/>
    </row>
    <row r="21" spans="1:71" s="86" customFormat="1" ht="21.95" customHeight="1">
      <c r="A21" s="133"/>
      <c r="B21" s="133"/>
      <c r="C21" s="133"/>
      <c r="D21" s="133"/>
      <c r="E21" s="316"/>
      <c r="F21" s="316"/>
      <c r="G21" s="316"/>
      <c r="H21" s="316"/>
      <c r="I21" s="316"/>
      <c r="J21" s="316"/>
      <c r="K21" s="316"/>
      <c r="L21" s="316"/>
      <c r="M21" s="316"/>
      <c r="N21" s="316"/>
      <c r="O21" s="316"/>
      <c r="P21" s="316"/>
      <c r="Q21" s="316"/>
      <c r="R21" s="316"/>
      <c r="S21" s="316"/>
      <c r="T21" s="316"/>
      <c r="U21" s="316"/>
      <c r="V21" s="316"/>
      <c r="W21" s="316"/>
      <c r="X21" s="316"/>
      <c r="Y21" s="316"/>
      <c r="Z21" s="316"/>
      <c r="AT21" s="83"/>
      <c r="AU21" s="83"/>
      <c r="AV21" s="83"/>
      <c r="AW21" s="83"/>
      <c r="AX21" s="83"/>
      <c r="AY21" s="108"/>
      <c r="AZ21" s="108"/>
      <c r="BA21" s="108"/>
      <c r="BB21" s="108"/>
      <c r="BC21" s="108"/>
      <c r="BD21" s="108"/>
      <c r="BE21" s="108"/>
      <c r="BF21" s="108"/>
      <c r="BG21" s="108"/>
      <c r="BH21" s="108"/>
      <c r="BI21" s="108"/>
      <c r="BJ21" s="108"/>
      <c r="BK21" s="108"/>
      <c r="BL21" s="108"/>
      <c r="BM21" s="108"/>
      <c r="BN21" s="108"/>
      <c r="BO21" s="108"/>
      <c r="BP21" s="108"/>
      <c r="BQ21" s="108"/>
      <c r="BR21" s="108"/>
      <c r="BS21" s="108"/>
    </row>
    <row r="22" spans="1:71" s="86" customFormat="1" ht="21.95" customHeight="1" thickBot="1">
      <c r="E22" s="316"/>
      <c r="F22" s="316"/>
      <c r="G22" s="316"/>
      <c r="H22" s="316"/>
      <c r="I22" s="316"/>
      <c r="J22" s="316"/>
      <c r="K22" s="316"/>
      <c r="L22" s="316"/>
      <c r="M22" s="316"/>
      <c r="N22" s="316"/>
      <c r="O22" s="316"/>
      <c r="P22" s="316"/>
      <c r="Q22" s="316"/>
      <c r="R22" s="316"/>
      <c r="S22" s="316"/>
      <c r="T22" s="316"/>
      <c r="U22" s="316"/>
      <c r="V22" s="316"/>
      <c r="W22" s="316"/>
      <c r="X22" s="316"/>
      <c r="Y22" s="316"/>
      <c r="Z22" s="316"/>
      <c r="AB22" s="105" t="s">
        <v>247</v>
      </c>
      <c r="AC22" s="86" t="s">
        <v>253</v>
      </c>
      <c r="AD22" s="86" t="str">
        <f>"Each horizontal coil wrapped in a metal envelope with 4 outer and core protection steel rings, then secured "&amp;P23&amp;" radial and "&amp;S23&amp;" cycle flat metal strapping bands."</f>
        <v>Each horizontal coil wrapped in a metal envelope with 4 outer and core protection steel rings, then secured 2 radial and 3 cycle flat metal strapping bands.</v>
      </c>
      <c r="AT22" s="83"/>
      <c r="AU22" s="94"/>
      <c r="AV22" s="94"/>
      <c r="AW22" s="91"/>
      <c r="AX22" s="91"/>
      <c r="AY22" s="91"/>
      <c r="AZ22" s="91"/>
      <c r="BA22" s="91"/>
      <c r="BB22" s="91"/>
      <c r="BC22" s="91"/>
      <c r="BD22" s="91"/>
      <c r="BE22" s="91"/>
      <c r="BF22" s="91"/>
      <c r="BG22" s="91"/>
      <c r="BH22" s="83"/>
      <c r="BI22" s="83"/>
      <c r="BJ22" s="83"/>
      <c r="BK22" s="83"/>
      <c r="BL22" s="83"/>
      <c r="BM22" s="83"/>
      <c r="BN22" s="83"/>
      <c r="BO22" s="83"/>
      <c r="BP22" s="83"/>
      <c r="BQ22" s="83"/>
      <c r="BR22" s="83"/>
      <c r="BS22" s="83"/>
    </row>
    <row r="23" spans="1:71" s="86" customFormat="1" ht="21.95" customHeight="1" thickBot="1">
      <c r="A23" s="313" t="s">
        <v>660</v>
      </c>
      <c r="B23" s="314"/>
      <c r="C23" s="314"/>
      <c r="D23" s="315"/>
      <c r="E23" s="318" t="str">
        <f>IF(A23="平放&amp;直立","平放",A23)</f>
        <v>平放</v>
      </c>
      <c r="F23" s="308"/>
      <c r="G23" s="139" t="s">
        <v>246</v>
      </c>
      <c r="H23" s="83"/>
      <c r="I23" s="331" t="s">
        <v>598</v>
      </c>
      <c r="J23" s="331"/>
      <c r="K23" s="331"/>
      <c r="L23" s="331"/>
      <c r="M23" s="331"/>
      <c r="N23" s="83"/>
      <c r="O23" s="83"/>
      <c r="P23" s="142">
        <v>2</v>
      </c>
      <c r="Q23" s="321" t="s">
        <v>249</v>
      </c>
      <c r="R23" s="321"/>
      <c r="S23" s="142">
        <v>3</v>
      </c>
      <c r="T23" s="321" t="s">
        <v>250</v>
      </c>
      <c r="U23" s="321"/>
      <c r="V23" s="140" t="str">
        <f>IF(E23="直立","板","")</f>
        <v/>
      </c>
      <c r="W23" s="317"/>
      <c r="X23" s="317"/>
      <c r="Y23" s="317"/>
      <c r="Z23" s="317"/>
      <c r="AB23" s="105" t="s">
        <v>247</v>
      </c>
      <c r="AC23" s="86" t="s">
        <v>252</v>
      </c>
      <c r="AD23" s="86" t="str">
        <f>"Each horizontal coil wrapped in a moisture-resistance plasticized Kraft envelope with circumferential metal sheet, both side cardboard discs, and four outer and core protection steel rings, then secured with "&amp;S23&amp;" cycle flat plastic bands as well as "&amp; P23 &amp;" radial flat metal strapping bands."</f>
        <v>Each horizontal coil wrapped in a moisture-resistance plasticized Kraft envelope with circumferential metal sheet, both side cardboard discs, and four outer and core protection steel rings, then secured with 3 cycle flat plastic bands as well as 2 radial flat metal strapping bands.</v>
      </c>
      <c r="AT23" s="83"/>
      <c r="AU23" s="83"/>
      <c r="AV23" s="83"/>
      <c r="AW23" s="83"/>
      <c r="AX23" s="83"/>
      <c r="AY23" s="108"/>
      <c r="AZ23" s="108"/>
      <c r="BA23" s="108"/>
      <c r="BB23" s="108"/>
      <c r="BC23" s="108"/>
      <c r="BD23" s="108"/>
      <c r="BE23" s="108"/>
      <c r="BF23" s="108"/>
      <c r="BG23" s="108"/>
      <c r="BH23" s="108"/>
      <c r="BI23" s="108"/>
      <c r="BJ23" s="108"/>
      <c r="BK23" s="108"/>
      <c r="BL23" s="108"/>
      <c r="BM23" s="108"/>
      <c r="BN23" s="108"/>
      <c r="BO23" s="108"/>
      <c r="BP23" s="108"/>
      <c r="BQ23" s="108"/>
      <c r="BR23" s="108"/>
      <c r="BS23" s="108"/>
    </row>
    <row r="24" spans="1:71" s="86" customFormat="1" ht="21.95" customHeight="1" thickBot="1">
      <c r="A24" s="124"/>
      <c r="B24" s="125"/>
      <c r="C24" s="125"/>
      <c r="D24" s="125"/>
      <c r="E24" s="319" t="str">
        <f>IF(A23="平放&amp;直立","直立","")</f>
        <v/>
      </c>
      <c r="F24" s="320"/>
      <c r="G24" s="83" t="str">
        <f>IF(E24="","","包材:")</f>
        <v/>
      </c>
      <c r="H24" s="108"/>
      <c r="I24" s="314"/>
      <c r="J24" s="314"/>
      <c r="K24" s="314"/>
      <c r="L24" s="314"/>
      <c r="M24" s="314"/>
      <c r="N24" s="83"/>
      <c r="O24" s="83"/>
      <c r="P24" s="142"/>
      <c r="Q24" s="321" t="str">
        <f>IF(E24="","","eye")</f>
        <v/>
      </c>
      <c r="R24" s="321"/>
      <c r="S24" s="142"/>
      <c r="T24" s="321" t="str">
        <f>IF(E24="","","cycle")</f>
        <v/>
      </c>
      <c r="U24" s="321"/>
      <c r="V24" s="140" t="str">
        <f>IF(E24="","","板")</f>
        <v/>
      </c>
      <c r="W24" s="317"/>
      <c r="X24" s="317"/>
      <c r="Y24" s="317"/>
      <c r="Z24" s="317"/>
      <c r="AB24" s="105" t="s">
        <v>247</v>
      </c>
      <c r="AC24" s="86" t="s">
        <v>281</v>
      </c>
      <c r="AD24" s="86" t="str">
        <f>"Each horizontal coil wrapped in a moisture-resistance plasticized Kraft envelope with circumferential metal sheet, both side cardboard discs or wrapped in a metal envelope with 4 outer and core protection steel rings, then secured "&amp;P23&amp;" radial and "&amp;S23&amp;" cycle flat metal strapping bands."</f>
        <v>Each horizontal coil wrapped in a moisture-resistance plasticized Kraft envelope with circumferential metal sheet, both side cardboard discs or wrapped in a metal envelope with 4 outer and core protection steel rings, then secured 2 radial and 3 cycle flat metal strapping bands.</v>
      </c>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row>
    <row r="25" spans="1:71" s="86" customFormat="1" ht="15.95" customHeight="1">
      <c r="B25" s="94"/>
      <c r="C25" s="94"/>
      <c r="D25" s="83"/>
      <c r="E25" s="83"/>
      <c r="F25" s="83"/>
      <c r="G25" s="83"/>
      <c r="H25" s="83"/>
      <c r="I25" s="83"/>
      <c r="J25" s="83"/>
      <c r="K25" s="83"/>
      <c r="L25" s="83"/>
      <c r="M25" s="83"/>
      <c r="N25" s="83"/>
      <c r="O25" s="83"/>
      <c r="P25" s="83"/>
      <c r="Q25" s="83"/>
      <c r="R25" s="83"/>
      <c r="S25" s="322"/>
      <c r="T25" s="322"/>
      <c r="U25" s="322"/>
      <c r="AB25" s="105" t="s">
        <v>248</v>
      </c>
      <c r="AC25" s="86" t="s">
        <v>253</v>
      </c>
      <c r="AD25" s="86" t="str">
        <f>"Each vertical coil wrapped in a metal envelope with 4 protection steel rings along upper-outer/-eye rims, then secured with "&amp;S23&amp;" cycle and "&amp;P23&amp;" eye flat metal strapping bands on a "&amp;W23&amp;"."</f>
        <v>Each vertical coil wrapped in a metal envelope with 4 protection steel rings along upper-outer/-eye rims, then secured with 3 cycle and 2 eye flat metal strapping bands on a .</v>
      </c>
      <c r="AT25" s="83"/>
      <c r="AU25" s="83"/>
      <c r="AV25" s="83"/>
      <c r="AW25" s="83"/>
      <c r="AX25" s="83"/>
      <c r="AY25" s="83"/>
      <c r="AZ25" s="92"/>
      <c r="BA25" s="92"/>
      <c r="BB25" s="92"/>
      <c r="BC25" s="83"/>
      <c r="BD25" s="91"/>
      <c r="BE25" s="91"/>
      <c r="BF25" s="91"/>
      <c r="BG25" s="91"/>
      <c r="BH25" s="91"/>
      <c r="BI25" s="91"/>
      <c r="BJ25" s="91"/>
      <c r="BK25" s="83"/>
      <c r="BL25" s="83"/>
      <c r="BM25" s="83"/>
      <c r="BN25" s="83"/>
      <c r="BO25" s="83"/>
      <c r="BP25" s="83"/>
      <c r="BQ25" s="83"/>
      <c r="BR25" s="83"/>
      <c r="BS25" s="83"/>
    </row>
    <row r="26" spans="1:71" s="86" customFormat="1" ht="15.95" customHeight="1">
      <c r="A26" s="122" t="s">
        <v>661</v>
      </c>
      <c r="B26" s="83"/>
      <c r="C26" s="83"/>
      <c r="D26" s="83"/>
      <c r="I26" s="86" t="s">
        <v>21</v>
      </c>
      <c r="J26" s="307" t="s">
        <v>666</v>
      </c>
      <c r="K26" s="307"/>
      <c r="L26" s="307"/>
      <c r="M26" s="308" t="s">
        <v>22</v>
      </c>
      <c r="N26" s="308"/>
      <c r="O26" s="309">
        <v>45385</v>
      </c>
      <c r="P26" s="309"/>
      <c r="Q26" s="309"/>
      <c r="R26" s="309"/>
      <c r="S26" s="309"/>
      <c r="T26" s="309"/>
      <c r="AB26" s="141" t="s">
        <v>254</v>
      </c>
      <c r="AD26" s="86" t="str">
        <f>"Each vertical or horizontal coil in a metal envelope with 4 protection steel rings along upper-outer/-eye rims (vertical coil) or outer/eye rims (horizontal coil), then secured with "&amp; S24&amp;" cycle/ "&amp;P24&amp;" eye (vertical coil) or "&amp;S23&amp;" cycle/ "&amp;P23&amp;" eye (horizontal coil) flat metal strapping bands on a "&amp;W24&amp; "(vertical coil only). "</f>
        <v xml:space="preserve">Each vertical or horizontal coil in a metal envelope with 4 protection steel rings along upper-outer/-eye rims (vertical coil) or outer/eye rims (horizontal coil), then secured with  cycle/  eye (vertical coil) or 3 cycle/ 2 eye (horizontal coil) flat metal strapping bands on a (vertical coil only). </v>
      </c>
      <c r="AT26" s="83"/>
      <c r="AU26" s="83"/>
      <c r="AV26" s="83"/>
      <c r="AW26" s="83"/>
      <c r="AX26" s="83"/>
      <c r="AY26" s="83"/>
      <c r="AZ26" s="92"/>
      <c r="BA26" s="92"/>
      <c r="BB26" s="92"/>
      <c r="BC26" s="83"/>
      <c r="BD26" s="91"/>
      <c r="BE26" s="91"/>
      <c r="BF26" s="91"/>
      <c r="BG26" s="91"/>
      <c r="BH26" s="91"/>
      <c r="BI26" s="91"/>
      <c r="BJ26" s="91"/>
      <c r="BK26" s="83"/>
      <c r="BL26" s="83"/>
      <c r="BM26" s="83"/>
      <c r="BN26" s="83"/>
      <c r="BO26" s="83"/>
      <c r="BP26" s="83"/>
      <c r="BQ26" s="83"/>
      <c r="BR26" s="83"/>
      <c r="BS26" s="83"/>
    </row>
    <row r="27" spans="1:71" s="86" customFormat="1" ht="15.95" customHeight="1">
      <c r="A27" s="122" t="s">
        <v>662</v>
      </c>
      <c r="B27" s="83"/>
      <c r="C27" s="83"/>
      <c r="D27" s="83"/>
      <c r="I27" s="86" t="s">
        <v>21</v>
      </c>
      <c r="J27" s="307" t="s">
        <v>667</v>
      </c>
      <c r="K27" s="307"/>
      <c r="L27" s="307"/>
      <c r="M27" s="308" t="s">
        <v>22</v>
      </c>
      <c r="N27" s="308"/>
      <c r="O27" s="309">
        <v>45385</v>
      </c>
      <c r="P27" s="309"/>
      <c r="Q27" s="309"/>
      <c r="R27" s="309"/>
      <c r="S27" s="309"/>
      <c r="T27" s="309"/>
      <c r="AB27" s="141"/>
      <c r="AT27" s="83"/>
      <c r="AU27" s="83"/>
      <c r="AV27" s="83"/>
      <c r="AW27" s="83"/>
      <c r="AX27" s="83"/>
      <c r="AY27" s="83"/>
      <c r="AZ27" s="209"/>
      <c r="BA27" s="209"/>
      <c r="BB27" s="209"/>
      <c r="BC27" s="83"/>
      <c r="BD27" s="210"/>
      <c r="BE27" s="210"/>
      <c r="BF27" s="210"/>
      <c r="BG27" s="210"/>
      <c r="BH27" s="210"/>
      <c r="BI27" s="210"/>
      <c r="BJ27" s="210"/>
      <c r="BK27" s="83"/>
      <c r="BL27" s="83"/>
      <c r="BM27" s="83"/>
      <c r="BN27" s="83"/>
      <c r="BO27" s="83"/>
      <c r="BP27" s="83"/>
      <c r="BQ27" s="83"/>
      <c r="BR27" s="83"/>
      <c r="BS27" s="83"/>
    </row>
    <row r="28" spans="1:71" s="86" customFormat="1" ht="15.95" customHeight="1">
      <c r="A28" s="122" t="s">
        <v>663</v>
      </c>
      <c r="B28" s="83"/>
      <c r="C28" s="83"/>
      <c r="D28" s="83"/>
      <c r="I28" s="86" t="s">
        <v>21</v>
      </c>
      <c r="J28" s="307" t="s">
        <v>668</v>
      </c>
      <c r="K28" s="307"/>
      <c r="L28" s="307"/>
      <c r="M28" s="308" t="s">
        <v>22</v>
      </c>
      <c r="N28" s="308"/>
      <c r="O28" s="309">
        <v>45385</v>
      </c>
      <c r="P28" s="309"/>
      <c r="Q28" s="309"/>
      <c r="R28" s="309"/>
      <c r="S28" s="309"/>
      <c r="T28" s="309"/>
      <c r="AB28" s="141"/>
      <c r="AT28" s="83"/>
      <c r="AU28" s="83"/>
      <c r="AV28" s="83"/>
      <c r="AW28" s="83"/>
      <c r="AX28" s="83"/>
      <c r="AY28" s="83"/>
      <c r="AZ28" s="209"/>
      <c r="BA28" s="209"/>
      <c r="BB28" s="209"/>
      <c r="BC28" s="83"/>
      <c r="BD28" s="210"/>
      <c r="BE28" s="210"/>
      <c r="BF28" s="210"/>
      <c r="BG28" s="210"/>
      <c r="BH28" s="210"/>
      <c r="BI28" s="210"/>
      <c r="BJ28" s="210"/>
      <c r="BK28" s="83"/>
      <c r="BL28" s="83"/>
      <c r="BM28" s="83"/>
      <c r="BN28" s="83"/>
      <c r="BO28" s="83"/>
      <c r="BP28" s="83"/>
      <c r="BQ28" s="83"/>
      <c r="BR28" s="83"/>
      <c r="BS28" s="83"/>
    </row>
    <row r="29" spans="1:71" s="86" customFormat="1" ht="15.95" customHeight="1">
      <c r="A29" s="122" t="s">
        <v>664</v>
      </c>
      <c r="B29" s="83"/>
      <c r="C29" s="83"/>
      <c r="D29" s="83"/>
      <c r="E29" s="83"/>
      <c r="F29" s="83"/>
      <c r="G29" s="83"/>
      <c r="I29" s="86" t="s">
        <v>21</v>
      </c>
      <c r="J29" s="307" t="s">
        <v>669</v>
      </c>
      <c r="K29" s="307"/>
      <c r="L29" s="307"/>
      <c r="M29" s="308" t="s">
        <v>22</v>
      </c>
      <c r="N29" s="308"/>
      <c r="O29" s="309">
        <v>45385</v>
      </c>
      <c r="P29" s="309"/>
      <c r="Q29" s="309"/>
      <c r="R29" s="309"/>
      <c r="S29" s="309"/>
      <c r="T29" s="309"/>
      <c r="AT29" s="83"/>
      <c r="AU29" s="83"/>
      <c r="AV29" s="83"/>
      <c r="AW29" s="83"/>
      <c r="AX29" s="83"/>
      <c r="AY29" s="83"/>
      <c r="AZ29" s="92"/>
      <c r="BA29" s="92"/>
      <c r="BB29" s="92"/>
      <c r="BC29" s="83"/>
      <c r="BD29" s="91"/>
      <c r="BE29" s="91"/>
      <c r="BF29" s="91"/>
      <c r="BG29" s="91"/>
      <c r="BH29" s="91"/>
      <c r="BI29" s="91"/>
      <c r="BJ29" s="91"/>
      <c r="BK29" s="83"/>
      <c r="BL29" s="83"/>
      <c r="BM29" s="83"/>
      <c r="BN29" s="83"/>
      <c r="BO29" s="83"/>
      <c r="BP29" s="83"/>
      <c r="BQ29" s="83"/>
      <c r="BR29" s="83"/>
      <c r="BS29" s="83"/>
    </row>
    <row r="30" spans="1:71" s="86" customFormat="1" ht="15.95" customHeight="1">
      <c r="A30" s="122" t="s">
        <v>665</v>
      </c>
      <c r="D30" s="83"/>
      <c r="E30" s="83"/>
      <c r="F30" s="83"/>
      <c r="I30" s="86" t="s">
        <v>21</v>
      </c>
      <c r="J30" s="307" t="s">
        <v>670</v>
      </c>
      <c r="K30" s="307"/>
      <c r="L30" s="307"/>
      <c r="M30" s="308" t="s">
        <v>22</v>
      </c>
      <c r="N30" s="308"/>
      <c r="O30" s="309">
        <v>45385</v>
      </c>
      <c r="P30" s="309"/>
      <c r="Q30" s="309"/>
      <c r="R30" s="309"/>
      <c r="S30" s="309"/>
      <c r="T30" s="309"/>
      <c r="U30" s="83"/>
      <c r="V30" s="83"/>
      <c r="W30" s="83"/>
      <c r="X30" s="83"/>
      <c r="Y30" s="83"/>
      <c r="Z30" s="83"/>
      <c r="AB30" s="86" t="s">
        <v>36</v>
      </c>
      <c r="AC30" s="86" t="s">
        <v>49</v>
      </c>
      <c r="AP30" s="81" t="s">
        <v>85</v>
      </c>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row>
    <row r="31" spans="1:71" s="86" customFormat="1" ht="15.95" customHeight="1">
      <c r="A31" s="122" t="s">
        <v>23</v>
      </c>
      <c r="D31" s="83"/>
      <c r="E31" s="83"/>
      <c r="F31" s="83"/>
      <c r="I31" s="86" t="s">
        <v>21</v>
      </c>
      <c r="J31" s="329" t="s">
        <v>671</v>
      </c>
      <c r="K31" s="329"/>
      <c r="L31" s="329"/>
      <c r="M31" s="329" t="s">
        <v>287</v>
      </c>
      <c r="N31" s="329"/>
      <c r="O31" s="329"/>
      <c r="Q31" s="330" t="str">
        <f>IF(M31="",J31,J31&amp;" and "&amp;M31)</f>
        <v>Clear and Cloudy</v>
      </c>
      <c r="R31" s="330"/>
      <c r="S31" s="330"/>
      <c r="T31" s="330"/>
      <c r="U31" s="330"/>
      <c r="V31" s="330"/>
      <c r="W31" s="330"/>
      <c r="X31" s="330"/>
      <c r="Y31" s="330"/>
      <c r="Z31" s="83"/>
      <c r="AB31" s="86" t="s">
        <v>37</v>
      </c>
      <c r="AC31" s="86" t="s">
        <v>50</v>
      </c>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row>
    <row r="32" spans="1:71" s="86" customFormat="1" ht="15.95" customHeight="1">
      <c r="A32" s="122" t="s">
        <v>256</v>
      </c>
      <c r="D32" s="83"/>
      <c r="E32" s="83"/>
      <c r="F32" s="83"/>
      <c r="I32" s="86" t="s">
        <v>21</v>
      </c>
      <c r="J32" s="307"/>
      <c r="K32" s="307"/>
      <c r="L32" s="307"/>
      <c r="M32" s="83"/>
      <c r="Q32" s="84"/>
      <c r="R32" s="84"/>
      <c r="S32" s="84"/>
      <c r="T32" s="84"/>
      <c r="U32" s="84"/>
      <c r="V32" s="84"/>
      <c r="W32" s="84"/>
      <c r="X32" s="84"/>
      <c r="Y32" s="84"/>
      <c r="Z32" s="83"/>
      <c r="AB32" s="86" t="s">
        <v>38</v>
      </c>
      <c r="AC32" s="86" t="s">
        <v>51</v>
      </c>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row>
    <row r="33" spans="1:71" s="86" customFormat="1" ht="15.95" customHeight="1">
      <c r="A33" s="122" t="s">
        <v>257</v>
      </c>
      <c r="B33" s="122"/>
      <c r="C33" s="122"/>
      <c r="D33" s="122"/>
      <c r="I33" s="86" t="s">
        <v>21</v>
      </c>
      <c r="J33" s="307"/>
      <c r="K33" s="307"/>
      <c r="L33" s="307"/>
      <c r="AB33" s="86" t="s">
        <v>39</v>
      </c>
      <c r="AC33" s="86" t="s">
        <v>52</v>
      </c>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row>
    <row r="34" spans="1:71" s="86" customFormat="1" ht="15.95" customHeight="1">
      <c r="A34" s="84"/>
      <c r="B34" s="84"/>
      <c r="C34" s="84"/>
      <c r="D34" s="92"/>
      <c r="E34" s="92"/>
      <c r="F34" s="92"/>
      <c r="G34" s="92"/>
      <c r="H34" s="92"/>
      <c r="I34" s="92"/>
      <c r="J34" s="92"/>
      <c r="K34" s="92"/>
      <c r="L34" s="92"/>
      <c r="M34" s="92"/>
      <c r="N34" s="92"/>
      <c r="O34" s="92"/>
      <c r="P34" s="92"/>
      <c r="Q34" s="92"/>
      <c r="R34" s="92"/>
      <c r="S34" s="92"/>
      <c r="T34" s="92"/>
      <c r="U34" s="92"/>
      <c r="V34" s="92"/>
      <c r="W34" s="92"/>
      <c r="X34" s="92"/>
      <c r="Y34" s="92"/>
      <c r="Z34" s="92"/>
      <c r="AB34" s="86" t="s">
        <v>40</v>
      </c>
      <c r="AC34" s="86" t="s">
        <v>53</v>
      </c>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row>
    <row r="35" spans="1:71" s="86" customFormat="1" ht="15.95" customHeight="1">
      <c r="A35" s="84"/>
      <c r="B35" s="84"/>
      <c r="C35" s="84"/>
      <c r="D35" s="92"/>
      <c r="E35" s="92"/>
      <c r="F35" s="92"/>
      <c r="G35" s="92"/>
      <c r="H35" s="92"/>
      <c r="I35" s="92"/>
      <c r="J35" s="92"/>
      <c r="K35" s="92"/>
      <c r="L35" s="92"/>
      <c r="M35" s="92"/>
      <c r="N35" s="92"/>
      <c r="O35" s="92"/>
      <c r="P35" s="92"/>
      <c r="Q35" s="92"/>
      <c r="R35" s="287" t="s">
        <v>678</v>
      </c>
      <c r="S35" s="287"/>
      <c r="T35" s="287"/>
      <c r="U35" s="287"/>
      <c r="V35" s="287"/>
      <c r="W35" s="286" t="s">
        <v>590</v>
      </c>
      <c r="X35" s="286"/>
      <c r="Y35" s="286"/>
      <c r="Z35" s="286"/>
      <c r="AB35" s="86" t="s">
        <v>41</v>
      </c>
      <c r="AC35" s="86" t="s">
        <v>54</v>
      </c>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row>
    <row r="36" spans="1:71" s="86" customFormat="1" ht="15.95" customHeight="1">
      <c r="A36" s="83"/>
      <c r="B36" s="83"/>
      <c r="C36" s="83"/>
      <c r="D36" s="83"/>
      <c r="E36" s="83"/>
      <c r="F36" s="83"/>
      <c r="G36" s="83"/>
      <c r="H36" s="83"/>
      <c r="I36" s="83"/>
      <c r="J36" s="83"/>
      <c r="K36" s="83"/>
      <c r="L36" s="83"/>
      <c r="M36" s="83"/>
      <c r="N36" s="83"/>
      <c r="O36" s="83"/>
      <c r="P36" s="83"/>
      <c r="Q36" s="83"/>
      <c r="R36" s="287" t="s">
        <v>679</v>
      </c>
      <c r="S36" s="287"/>
      <c r="T36" s="287"/>
      <c r="U36" s="287"/>
      <c r="V36" s="287"/>
      <c r="W36" s="286" t="s">
        <v>591</v>
      </c>
      <c r="X36" s="286"/>
      <c r="Y36" s="286"/>
      <c r="Z36" s="286"/>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row>
    <row r="37" spans="1:71" s="86" customFormat="1" ht="15.95" customHeight="1">
      <c r="A37" s="283" t="s">
        <v>42</v>
      </c>
      <c r="B37" s="284"/>
      <c r="C37" s="285"/>
      <c r="D37" s="283" t="s">
        <v>43</v>
      </c>
      <c r="E37" s="284"/>
      <c r="F37" s="285"/>
      <c r="G37" s="283" t="s">
        <v>672</v>
      </c>
      <c r="H37" s="284"/>
      <c r="I37" s="285"/>
      <c r="J37" s="283" t="s">
        <v>70</v>
      </c>
      <c r="K37" s="284"/>
      <c r="L37" s="285"/>
      <c r="M37" s="283" t="s">
        <v>48</v>
      </c>
      <c r="N37" s="284"/>
      <c r="O37" s="285"/>
      <c r="P37" s="283" t="s">
        <v>63</v>
      </c>
      <c r="Q37" s="285"/>
      <c r="R37" s="283"/>
      <c r="S37" s="285"/>
      <c r="U37" s="97"/>
      <c r="V37" s="97"/>
      <c r="W37" s="97"/>
      <c r="X37" s="97"/>
      <c r="Y37" s="97"/>
      <c r="Z37" s="97"/>
      <c r="AB37" s="86" t="s">
        <v>63</v>
      </c>
      <c r="AC37" s="86" t="s">
        <v>673</v>
      </c>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row>
    <row r="38" spans="1:71" s="86" customFormat="1" ht="15.95" customHeight="1">
      <c r="A38" s="281" t="s">
        <v>64</v>
      </c>
      <c r="B38" s="281"/>
      <c r="C38" s="281"/>
      <c r="D38" s="282" t="s">
        <v>674</v>
      </c>
      <c r="E38" s="282"/>
      <c r="F38" s="282"/>
      <c r="G38" s="282" t="s">
        <v>677</v>
      </c>
      <c r="H38" s="282"/>
      <c r="I38" s="282"/>
      <c r="J38" s="290">
        <v>55.222000000000001</v>
      </c>
      <c r="K38" s="290"/>
      <c r="L38" s="257" t="str">
        <f>IF(A38="","","MT")</f>
        <v>MT</v>
      </c>
      <c r="M38" s="290">
        <v>55.444000000000003</v>
      </c>
      <c r="N38" s="290"/>
      <c r="O38" s="255" t="str">
        <f t="shared" ref="O38:O54" si="0">IF(A38="","","MT")</f>
        <v>MT</v>
      </c>
      <c r="P38" s="258">
        <v>1</v>
      </c>
      <c r="Q38" s="255" t="str">
        <f>IF($A38="","",$AB38)</f>
        <v>coil</v>
      </c>
      <c r="R38" s="258"/>
      <c r="S38" s="258" t="str">
        <f>IF($A38="","",$AC38)</f>
        <v/>
      </c>
      <c r="U38" s="97"/>
      <c r="V38" s="97"/>
      <c r="W38" s="97"/>
      <c r="X38" s="97"/>
      <c r="Y38" s="97"/>
      <c r="Z38" s="97"/>
      <c r="AB38" s="86" t="str">
        <f t="shared" ref="AB38:AB54" si="1">IF(P38&gt;1,$W$35&amp;"s",$W$35)</f>
        <v>coil</v>
      </c>
      <c r="AC38" s="86" t="str">
        <f>IF(R38="","",IF(R38&gt;1,$W$36&amp;"s",$W$36))</f>
        <v/>
      </c>
      <c r="AD38" s="86" t="s">
        <v>590</v>
      </c>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row>
    <row r="39" spans="1:71" s="86" customFormat="1" ht="15.95" customHeight="1">
      <c r="A39" s="281" t="s">
        <v>680</v>
      </c>
      <c r="B39" s="281"/>
      <c r="C39" s="281"/>
      <c r="D39" s="282" t="s">
        <v>681</v>
      </c>
      <c r="E39" s="282"/>
      <c r="F39" s="282"/>
      <c r="G39" s="282" t="s">
        <v>677</v>
      </c>
      <c r="H39" s="282"/>
      <c r="I39" s="282"/>
      <c r="J39" s="290">
        <v>56.222000000000001</v>
      </c>
      <c r="K39" s="290"/>
      <c r="L39" s="257" t="str">
        <f t="shared" ref="L39:L54" si="2">IF(A39="","","MT")</f>
        <v>MT</v>
      </c>
      <c r="M39" s="290">
        <v>56.444000000000003</v>
      </c>
      <c r="N39" s="290"/>
      <c r="O39" s="255" t="str">
        <f t="shared" si="0"/>
        <v>MT</v>
      </c>
      <c r="P39" s="258">
        <v>2</v>
      </c>
      <c r="Q39" s="255" t="str">
        <f t="shared" ref="Q39:Q54" si="3">IF($A39="","",$AB39)</f>
        <v>coils</v>
      </c>
      <c r="R39" s="258"/>
      <c r="S39" s="258" t="str">
        <f t="shared" ref="S39:S54" si="4">IF($A39="","",$AC39)</f>
        <v/>
      </c>
      <c r="U39" s="97"/>
      <c r="V39" s="97"/>
      <c r="W39" s="97"/>
      <c r="X39" s="97"/>
      <c r="Y39" s="97"/>
      <c r="Z39" s="97"/>
      <c r="AB39" s="86" t="str">
        <f t="shared" si="1"/>
        <v>coils</v>
      </c>
      <c r="AC39" s="86" t="str">
        <f t="shared" ref="AC39:AC54" si="5">IF(R39="","",IF(R39&gt;1,$W$36&amp;"s",$W$36))</f>
        <v/>
      </c>
      <c r="AD39" s="86" t="s">
        <v>591</v>
      </c>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row>
    <row r="40" spans="1:71" s="86" customFormat="1" ht="15.95" customHeight="1">
      <c r="A40" s="281" t="s">
        <v>682</v>
      </c>
      <c r="B40" s="281"/>
      <c r="C40" s="281"/>
      <c r="D40" s="282" t="s">
        <v>683</v>
      </c>
      <c r="E40" s="282"/>
      <c r="F40" s="282"/>
      <c r="G40" s="282" t="s">
        <v>677</v>
      </c>
      <c r="H40" s="282"/>
      <c r="I40" s="282"/>
      <c r="J40" s="290">
        <v>57.222000000000001</v>
      </c>
      <c r="K40" s="290"/>
      <c r="L40" s="257" t="str">
        <f t="shared" si="2"/>
        <v>MT</v>
      </c>
      <c r="M40" s="290">
        <v>57.444000000000003</v>
      </c>
      <c r="N40" s="290"/>
      <c r="O40" s="255" t="str">
        <f t="shared" si="0"/>
        <v>MT</v>
      </c>
      <c r="P40" s="258">
        <v>3</v>
      </c>
      <c r="Q40" s="255" t="str">
        <f t="shared" si="3"/>
        <v>coils</v>
      </c>
      <c r="R40" s="258"/>
      <c r="S40" s="258" t="str">
        <f t="shared" si="4"/>
        <v/>
      </c>
      <c r="U40" s="97"/>
      <c r="V40" s="97"/>
      <c r="W40" s="97"/>
      <c r="X40" s="97"/>
      <c r="Y40" s="97"/>
      <c r="Z40" s="97"/>
      <c r="AB40" s="86" t="str">
        <f t="shared" si="1"/>
        <v>coils</v>
      </c>
      <c r="AC40" s="86" t="str">
        <f t="shared" si="5"/>
        <v/>
      </c>
      <c r="AD40" s="86" t="s">
        <v>592</v>
      </c>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row>
    <row r="41" spans="1:71" s="86" customFormat="1" ht="15.95" customHeight="1">
      <c r="A41" s="281" t="s">
        <v>684</v>
      </c>
      <c r="B41" s="281"/>
      <c r="C41" s="281"/>
      <c r="D41" s="282" t="s">
        <v>685</v>
      </c>
      <c r="E41" s="282"/>
      <c r="F41" s="282"/>
      <c r="G41" s="282" t="s">
        <v>677</v>
      </c>
      <c r="H41" s="282"/>
      <c r="I41" s="282"/>
      <c r="J41" s="290">
        <v>58.222000000000001</v>
      </c>
      <c r="K41" s="290"/>
      <c r="L41" s="257" t="str">
        <f t="shared" si="2"/>
        <v>MT</v>
      </c>
      <c r="M41" s="290">
        <v>58.444000000000003</v>
      </c>
      <c r="N41" s="290"/>
      <c r="O41" s="255" t="str">
        <f t="shared" si="0"/>
        <v>MT</v>
      </c>
      <c r="P41" s="258">
        <v>4</v>
      </c>
      <c r="Q41" s="255" t="str">
        <f t="shared" si="3"/>
        <v>coils</v>
      </c>
      <c r="R41" s="258"/>
      <c r="S41" s="258" t="str">
        <f t="shared" si="4"/>
        <v/>
      </c>
      <c r="U41" s="97"/>
      <c r="V41" s="97"/>
      <c r="W41" s="97"/>
      <c r="X41" s="97"/>
      <c r="Y41" s="97"/>
      <c r="Z41" s="97"/>
      <c r="AB41" s="86" t="str">
        <f t="shared" si="1"/>
        <v>coils</v>
      </c>
      <c r="AC41" s="86" t="str">
        <f t="shared" si="5"/>
        <v/>
      </c>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row>
    <row r="42" spans="1:71" s="86" customFormat="1" ht="15.95" customHeight="1">
      <c r="A42" s="281" t="s">
        <v>686</v>
      </c>
      <c r="B42" s="281"/>
      <c r="C42" s="281"/>
      <c r="D42" s="282" t="s">
        <v>687</v>
      </c>
      <c r="E42" s="282"/>
      <c r="F42" s="282"/>
      <c r="G42" s="282" t="s">
        <v>677</v>
      </c>
      <c r="H42" s="282"/>
      <c r="I42" s="282"/>
      <c r="J42" s="290">
        <v>59.222000000000001</v>
      </c>
      <c r="K42" s="290"/>
      <c r="L42" s="257" t="str">
        <f t="shared" si="2"/>
        <v>MT</v>
      </c>
      <c r="M42" s="290">
        <v>59.444000000000003</v>
      </c>
      <c r="N42" s="290"/>
      <c r="O42" s="255" t="str">
        <f t="shared" si="0"/>
        <v>MT</v>
      </c>
      <c r="P42" s="258">
        <v>5</v>
      </c>
      <c r="Q42" s="255" t="str">
        <f t="shared" si="3"/>
        <v>coils</v>
      </c>
      <c r="R42" s="258"/>
      <c r="S42" s="258" t="str">
        <f t="shared" si="4"/>
        <v/>
      </c>
      <c r="U42" s="97"/>
      <c r="V42" s="97"/>
      <c r="W42" s="97"/>
      <c r="X42" s="97"/>
      <c r="Y42" s="97"/>
      <c r="Z42" s="97"/>
      <c r="AB42" s="86" t="str">
        <f t="shared" si="1"/>
        <v>coils</v>
      </c>
      <c r="AC42" s="86" t="str">
        <f t="shared" si="5"/>
        <v/>
      </c>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row>
    <row r="43" spans="1:71" s="86" customFormat="1" ht="15.95" customHeight="1">
      <c r="A43" s="281" t="s">
        <v>688</v>
      </c>
      <c r="B43" s="281"/>
      <c r="C43" s="281"/>
      <c r="D43" s="282" t="s">
        <v>689</v>
      </c>
      <c r="E43" s="282"/>
      <c r="F43" s="282"/>
      <c r="G43" s="282" t="s">
        <v>677</v>
      </c>
      <c r="H43" s="282"/>
      <c r="I43" s="282"/>
      <c r="J43" s="290">
        <v>60.222000000000001</v>
      </c>
      <c r="K43" s="290"/>
      <c r="L43" s="257" t="str">
        <f t="shared" si="2"/>
        <v>MT</v>
      </c>
      <c r="M43" s="290">
        <v>60.444000000000003</v>
      </c>
      <c r="N43" s="290"/>
      <c r="O43" s="255" t="str">
        <f t="shared" si="0"/>
        <v>MT</v>
      </c>
      <c r="P43" s="258">
        <v>6</v>
      </c>
      <c r="Q43" s="255" t="str">
        <f t="shared" si="3"/>
        <v>coils</v>
      </c>
      <c r="R43" s="258"/>
      <c r="S43" s="258" t="str">
        <f t="shared" si="4"/>
        <v/>
      </c>
      <c r="U43" s="97"/>
      <c r="V43" s="97"/>
      <c r="W43" s="97"/>
      <c r="X43" s="97"/>
      <c r="Y43" s="97"/>
      <c r="Z43" s="97"/>
      <c r="AB43" s="86" t="str">
        <f t="shared" si="1"/>
        <v>coils</v>
      </c>
      <c r="AC43" s="86" t="str">
        <f t="shared" si="5"/>
        <v/>
      </c>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row>
    <row r="44" spans="1:71" s="86" customFormat="1" ht="15.95" customHeight="1">
      <c r="A44" s="281" t="s">
        <v>690</v>
      </c>
      <c r="B44" s="281"/>
      <c r="C44" s="281"/>
      <c r="D44" s="282" t="s">
        <v>691</v>
      </c>
      <c r="E44" s="282"/>
      <c r="F44" s="282"/>
      <c r="G44" s="282" t="s">
        <v>677</v>
      </c>
      <c r="H44" s="282"/>
      <c r="I44" s="282"/>
      <c r="J44" s="290">
        <v>61.222000000000001</v>
      </c>
      <c r="K44" s="290"/>
      <c r="L44" s="257" t="str">
        <f t="shared" si="2"/>
        <v>MT</v>
      </c>
      <c r="M44" s="290">
        <v>61.444000000000003</v>
      </c>
      <c r="N44" s="290"/>
      <c r="O44" s="255" t="str">
        <f t="shared" si="0"/>
        <v>MT</v>
      </c>
      <c r="P44" s="258">
        <v>7</v>
      </c>
      <c r="Q44" s="255" t="str">
        <f t="shared" si="3"/>
        <v>coils</v>
      </c>
      <c r="R44" s="258"/>
      <c r="S44" s="258" t="str">
        <f t="shared" si="4"/>
        <v/>
      </c>
      <c r="U44" s="97"/>
      <c r="V44" s="97"/>
      <c r="W44" s="97"/>
      <c r="X44" s="97"/>
      <c r="Y44" s="97"/>
      <c r="Z44" s="97"/>
      <c r="AB44" s="86" t="str">
        <f t="shared" si="1"/>
        <v>coils</v>
      </c>
      <c r="AC44" s="86" t="str">
        <f t="shared" si="5"/>
        <v/>
      </c>
      <c r="AT44" s="92"/>
      <c r="AU44" s="92"/>
      <c r="AV44" s="92"/>
      <c r="AW44" s="92"/>
      <c r="AX44" s="92"/>
      <c r="AY44" s="92"/>
      <c r="AZ44" s="92"/>
      <c r="BA44" s="92"/>
      <c r="BB44" s="92"/>
      <c r="BC44" s="92"/>
      <c r="BD44" s="92"/>
      <c r="BE44" s="91"/>
      <c r="BF44" s="91"/>
      <c r="BG44" s="91"/>
      <c r="BH44" s="91"/>
      <c r="BI44" s="91"/>
      <c r="BJ44" s="91"/>
      <c r="BK44" s="91"/>
      <c r="BL44" s="91"/>
      <c r="BM44" s="91"/>
      <c r="BN44" s="91"/>
      <c r="BO44" s="91"/>
      <c r="BP44" s="91"/>
      <c r="BQ44" s="91"/>
      <c r="BR44" s="91"/>
      <c r="BS44" s="91"/>
    </row>
    <row r="45" spans="1:71" s="86" customFormat="1" ht="15.95" customHeight="1">
      <c r="A45" s="281" t="s">
        <v>692</v>
      </c>
      <c r="B45" s="281"/>
      <c r="C45" s="281"/>
      <c r="D45" s="282" t="s">
        <v>693</v>
      </c>
      <c r="E45" s="282"/>
      <c r="F45" s="282"/>
      <c r="G45" s="282" t="s">
        <v>677</v>
      </c>
      <c r="H45" s="282"/>
      <c r="I45" s="282"/>
      <c r="J45" s="290">
        <v>62.222000000000001</v>
      </c>
      <c r="K45" s="290"/>
      <c r="L45" s="257" t="str">
        <f t="shared" si="2"/>
        <v>MT</v>
      </c>
      <c r="M45" s="290">
        <v>62.444000000000003</v>
      </c>
      <c r="N45" s="290"/>
      <c r="O45" s="255" t="str">
        <f t="shared" si="0"/>
        <v>MT</v>
      </c>
      <c r="P45" s="258">
        <v>8</v>
      </c>
      <c r="Q45" s="255" t="str">
        <f t="shared" si="3"/>
        <v>coils</v>
      </c>
      <c r="R45" s="258"/>
      <c r="S45" s="258" t="str">
        <f t="shared" si="4"/>
        <v/>
      </c>
      <c r="U45" s="97"/>
      <c r="V45" s="97"/>
      <c r="W45" s="97"/>
      <c r="X45" s="97"/>
      <c r="Y45" s="97"/>
      <c r="Z45" s="97"/>
      <c r="AB45" s="86" t="str">
        <f t="shared" si="1"/>
        <v>coils</v>
      </c>
      <c r="AC45" s="86" t="str">
        <f t="shared" si="5"/>
        <v/>
      </c>
      <c r="AT45" s="98"/>
      <c r="AU45" s="98"/>
      <c r="AV45" s="98"/>
      <c r="AW45" s="98"/>
      <c r="AX45" s="98"/>
      <c r="AY45" s="98"/>
      <c r="AZ45" s="92"/>
      <c r="BA45" s="92"/>
      <c r="BB45" s="95"/>
      <c r="BC45" s="95"/>
      <c r="BD45" s="95"/>
      <c r="BE45" s="96"/>
      <c r="BF45" s="96"/>
      <c r="BG45" s="96"/>
      <c r="BH45" s="96"/>
      <c r="BI45" s="96"/>
      <c r="BJ45" s="96"/>
      <c r="BK45" s="96"/>
      <c r="BL45" s="96"/>
      <c r="BM45" s="96"/>
      <c r="BN45" s="96"/>
      <c r="BO45" s="96"/>
      <c r="BP45" s="96"/>
      <c r="BQ45" s="96"/>
      <c r="BR45" s="96"/>
      <c r="BS45" s="96"/>
    </row>
    <row r="46" spans="1:71" s="86" customFormat="1" ht="15.95" customHeight="1">
      <c r="A46" s="281" t="s">
        <v>694</v>
      </c>
      <c r="B46" s="281"/>
      <c r="C46" s="281"/>
      <c r="D46" s="282" t="s">
        <v>695</v>
      </c>
      <c r="E46" s="282"/>
      <c r="F46" s="282"/>
      <c r="G46" s="282" t="s">
        <v>677</v>
      </c>
      <c r="H46" s="282"/>
      <c r="I46" s="282"/>
      <c r="J46" s="290">
        <v>63.222000000000001</v>
      </c>
      <c r="K46" s="290"/>
      <c r="L46" s="257" t="str">
        <f t="shared" si="2"/>
        <v>MT</v>
      </c>
      <c r="M46" s="290">
        <v>63.444000000000003</v>
      </c>
      <c r="N46" s="290"/>
      <c r="O46" s="255" t="str">
        <f t="shared" si="0"/>
        <v>MT</v>
      </c>
      <c r="P46" s="258">
        <v>9</v>
      </c>
      <c r="Q46" s="255" t="str">
        <f t="shared" si="3"/>
        <v>coils</v>
      </c>
      <c r="R46" s="258"/>
      <c r="S46" s="258" t="str">
        <f t="shared" si="4"/>
        <v/>
      </c>
      <c r="U46" s="97"/>
      <c r="V46" s="97"/>
      <c r="W46" s="97"/>
      <c r="X46" s="97"/>
      <c r="Y46" s="97"/>
      <c r="Z46" s="97"/>
      <c r="AB46" s="86" t="str">
        <f t="shared" si="1"/>
        <v>coils</v>
      </c>
      <c r="AC46" s="86" t="str">
        <f t="shared" si="5"/>
        <v/>
      </c>
      <c r="AT46" s="98"/>
      <c r="AU46" s="98"/>
      <c r="AV46" s="98"/>
      <c r="AW46" s="98"/>
      <c r="AX46" s="98"/>
      <c r="AY46" s="98"/>
      <c r="AZ46" s="92"/>
      <c r="BA46" s="92"/>
      <c r="BB46" s="95"/>
      <c r="BC46" s="95"/>
      <c r="BD46" s="95"/>
      <c r="BE46" s="96"/>
      <c r="BF46" s="96"/>
      <c r="BG46" s="96"/>
      <c r="BH46" s="96"/>
      <c r="BI46" s="96"/>
      <c r="BJ46" s="96"/>
      <c r="BK46" s="96"/>
      <c r="BL46" s="96"/>
      <c r="BM46" s="96"/>
      <c r="BN46" s="96"/>
      <c r="BO46" s="96"/>
      <c r="BP46" s="96"/>
      <c r="BQ46" s="96"/>
      <c r="BR46" s="96"/>
      <c r="BS46" s="96"/>
    </row>
    <row r="47" spans="1:71" s="86" customFormat="1">
      <c r="A47" s="281" t="s">
        <v>696</v>
      </c>
      <c r="B47" s="281"/>
      <c r="C47" s="281"/>
      <c r="D47" s="282" t="s">
        <v>697</v>
      </c>
      <c r="E47" s="282"/>
      <c r="F47" s="282"/>
      <c r="G47" s="282" t="s">
        <v>677</v>
      </c>
      <c r="H47" s="282"/>
      <c r="I47" s="282"/>
      <c r="J47" s="290">
        <v>64.221999999999994</v>
      </c>
      <c r="K47" s="290"/>
      <c r="L47" s="257" t="str">
        <f t="shared" si="2"/>
        <v>MT</v>
      </c>
      <c r="M47" s="290">
        <v>64.444000000000003</v>
      </c>
      <c r="N47" s="290"/>
      <c r="O47" s="255" t="str">
        <f t="shared" si="0"/>
        <v>MT</v>
      </c>
      <c r="P47" s="258">
        <v>10</v>
      </c>
      <c r="Q47" s="255" t="str">
        <f t="shared" si="3"/>
        <v>coils</v>
      </c>
      <c r="R47" s="258"/>
      <c r="S47" s="258" t="str">
        <f t="shared" si="4"/>
        <v/>
      </c>
      <c r="U47" s="97"/>
      <c r="V47" s="97"/>
      <c r="W47" s="97"/>
      <c r="X47" s="97"/>
      <c r="Y47" s="97"/>
      <c r="Z47" s="97"/>
      <c r="AB47" s="86" t="str">
        <f t="shared" si="1"/>
        <v>coils</v>
      </c>
      <c r="AC47" s="86" t="str">
        <f t="shared" si="5"/>
        <v/>
      </c>
      <c r="AT47" s="98"/>
      <c r="AU47" s="98"/>
      <c r="AV47" s="98"/>
      <c r="AW47" s="98"/>
      <c r="AX47" s="98"/>
      <c r="AY47" s="98"/>
      <c r="AZ47" s="92"/>
      <c r="BA47" s="92"/>
      <c r="BB47" s="95"/>
      <c r="BC47" s="95"/>
      <c r="BD47" s="95"/>
      <c r="BE47" s="96"/>
      <c r="BF47" s="96"/>
      <c r="BG47" s="96"/>
      <c r="BH47" s="96"/>
      <c r="BI47" s="96"/>
      <c r="BJ47" s="96"/>
      <c r="BK47" s="96"/>
      <c r="BL47" s="96"/>
      <c r="BM47" s="96"/>
      <c r="BN47" s="96"/>
      <c r="BO47" s="96"/>
      <c r="BP47" s="96"/>
      <c r="BQ47" s="96"/>
      <c r="BR47" s="96"/>
      <c r="BS47" s="96"/>
    </row>
    <row r="48" spans="1:71" s="86" customFormat="1" ht="15.95" customHeight="1">
      <c r="A48" s="281" t="s">
        <v>698</v>
      </c>
      <c r="B48" s="281"/>
      <c r="C48" s="281"/>
      <c r="D48" s="282" t="s">
        <v>699</v>
      </c>
      <c r="E48" s="282"/>
      <c r="F48" s="282"/>
      <c r="G48" s="282" t="s">
        <v>677</v>
      </c>
      <c r="H48" s="282"/>
      <c r="I48" s="282"/>
      <c r="J48" s="290">
        <v>65.221999999999994</v>
      </c>
      <c r="K48" s="290"/>
      <c r="L48" s="257" t="str">
        <f t="shared" si="2"/>
        <v>MT</v>
      </c>
      <c r="M48" s="290">
        <v>65.444000000000003</v>
      </c>
      <c r="N48" s="290"/>
      <c r="O48" s="255" t="str">
        <f t="shared" si="0"/>
        <v>MT</v>
      </c>
      <c r="P48" s="258">
        <v>11</v>
      </c>
      <c r="Q48" s="255" t="str">
        <f t="shared" si="3"/>
        <v>coils</v>
      </c>
      <c r="R48" s="258"/>
      <c r="S48" s="258" t="str">
        <f t="shared" si="4"/>
        <v/>
      </c>
      <c r="U48" s="97"/>
      <c r="V48" s="97"/>
      <c r="W48" s="97"/>
      <c r="X48" s="97"/>
      <c r="Y48" s="97"/>
      <c r="Z48" s="97"/>
      <c r="AB48" s="86" t="str">
        <f t="shared" si="1"/>
        <v>coils</v>
      </c>
      <c r="AC48" s="86" t="str">
        <f t="shared" si="5"/>
        <v/>
      </c>
      <c r="AT48" s="98"/>
      <c r="AU48" s="98"/>
      <c r="AV48" s="98"/>
      <c r="AW48" s="98"/>
      <c r="AX48" s="98"/>
      <c r="AY48" s="98"/>
      <c r="AZ48" s="92"/>
      <c r="BA48" s="92"/>
      <c r="BB48" s="95"/>
      <c r="BC48" s="95"/>
      <c r="BD48" s="95"/>
      <c r="BE48" s="96"/>
      <c r="BF48" s="96"/>
      <c r="BG48" s="96"/>
      <c r="BH48" s="96"/>
      <c r="BI48" s="96"/>
      <c r="BJ48" s="96"/>
      <c r="BK48" s="96"/>
      <c r="BL48" s="96"/>
      <c r="BM48" s="96"/>
      <c r="BN48" s="96"/>
      <c r="BO48" s="96"/>
      <c r="BP48" s="96"/>
      <c r="BQ48" s="96"/>
      <c r="BR48" s="96"/>
      <c r="BS48" s="96"/>
    </row>
    <row r="49" spans="1:71" s="86" customFormat="1" ht="15.95" customHeight="1">
      <c r="A49" s="281" t="s">
        <v>700</v>
      </c>
      <c r="B49" s="281"/>
      <c r="C49" s="281"/>
      <c r="D49" s="282" t="s">
        <v>701</v>
      </c>
      <c r="E49" s="282"/>
      <c r="F49" s="282"/>
      <c r="G49" s="282" t="s">
        <v>677</v>
      </c>
      <c r="H49" s="282"/>
      <c r="I49" s="282"/>
      <c r="J49" s="290">
        <v>66.221999999999994</v>
      </c>
      <c r="K49" s="290"/>
      <c r="L49" s="257" t="str">
        <f t="shared" si="2"/>
        <v>MT</v>
      </c>
      <c r="M49" s="290">
        <v>66.444000000000003</v>
      </c>
      <c r="N49" s="290"/>
      <c r="O49" s="255" t="str">
        <f t="shared" si="0"/>
        <v>MT</v>
      </c>
      <c r="P49" s="258">
        <v>12</v>
      </c>
      <c r="Q49" s="255" t="str">
        <f t="shared" si="3"/>
        <v>coils</v>
      </c>
      <c r="R49" s="258"/>
      <c r="S49" s="258" t="str">
        <f t="shared" si="4"/>
        <v/>
      </c>
      <c r="U49" s="97"/>
      <c r="V49" s="97"/>
      <c r="W49" s="97"/>
      <c r="X49" s="97"/>
      <c r="Y49" s="97"/>
      <c r="Z49" s="97"/>
      <c r="AB49" s="86" t="str">
        <f t="shared" si="1"/>
        <v>coils</v>
      </c>
      <c r="AC49" s="86" t="str">
        <f t="shared" si="5"/>
        <v/>
      </c>
      <c r="AT49" s="98"/>
      <c r="AU49" s="98"/>
      <c r="AV49" s="98"/>
      <c r="AW49" s="98"/>
      <c r="AX49" s="98"/>
      <c r="AY49" s="98"/>
      <c r="AZ49" s="92"/>
      <c r="BA49" s="92"/>
      <c r="BB49" s="95"/>
      <c r="BC49" s="95"/>
      <c r="BD49" s="95"/>
      <c r="BE49" s="96"/>
      <c r="BF49" s="96"/>
      <c r="BG49" s="96"/>
      <c r="BH49" s="96"/>
      <c r="BI49" s="96"/>
      <c r="BJ49" s="96"/>
      <c r="BK49" s="96"/>
      <c r="BL49" s="96"/>
      <c r="BM49" s="96"/>
      <c r="BN49" s="96"/>
      <c r="BO49" s="96"/>
      <c r="BP49" s="96"/>
      <c r="BQ49" s="96"/>
      <c r="BR49" s="96"/>
      <c r="BS49" s="96"/>
    </row>
    <row r="50" spans="1:71" s="86" customFormat="1" ht="15.95" customHeight="1">
      <c r="A50" s="281" t="s">
        <v>702</v>
      </c>
      <c r="B50" s="281"/>
      <c r="C50" s="281"/>
      <c r="D50" s="282" t="s">
        <v>703</v>
      </c>
      <c r="E50" s="282"/>
      <c r="F50" s="282"/>
      <c r="G50" s="282" t="s">
        <v>677</v>
      </c>
      <c r="H50" s="282"/>
      <c r="I50" s="282"/>
      <c r="J50" s="290">
        <v>67.221999999999994</v>
      </c>
      <c r="K50" s="290"/>
      <c r="L50" s="257" t="str">
        <f t="shared" si="2"/>
        <v>MT</v>
      </c>
      <c r="M50" s="290">
        <v>67.444000000000003</v>
      </c>
      <c r="N50" s="290"/>
      <c r="O50" s="255" t="str">
        <f t="shared" si="0"/>
        <v>MT</v>
      </c>
      <c r="P50" s="258">
        <v>13</v>
      </c>
      <c r="Q50" s="255" t="str">
        <f t="shared" si="3"/>
        <v>coils</v>
      </c>
      <c r="R50" s="258"/>
      <c r="S50" s="258" t="str">
        <f t="shared" si="4"/>
        <v/>
      </c>
      <c r="U50" s="97"/>
      <c r="V50" s="97"/>
      <c r="W50" s="97"/>
      <c r="X50" s="97"/>
      <c r="Y50" s="97"/>
      <c r="Z50" s="97"/>
      <c r="AB50" s="86" t="str">
        <f t="shared" si="1"/>
        <v>coils</v>
      </c>
      <c r="AC50" s="86" t="str">
        <f t="shared" si="5"/>
        <v/>
      </c>
      <c r="AT50" s="98"/>
      <c r="AU50" s="98"/>
      <c r="AV50" s="98"/>
      <c r="AW50" s="98"/>
      <c r="AX50" s="98"/>
      <c r="AY50" s="98"/>
      <c r="AZ50" s="92"/>
      <c r="BA50" s="92"/>
      <c r="BB50" s="95"/>
      <c r="BC50" s="95"/>
      <c r="BD50" s="95"/>
      <c r="BE50" s="96"/>
      <c r="BF50" s="96"/>
      <c r="BG50" s="96"/>
      <c r="BH50" s="96"/>
      <c r="BI50" s="96"/>
      <c r="BJ50" s="96"/>
      <c r="BK50" s="96"/>
      <c r="BL50" s="96"/>
      <c r="BM50" s="96"/>
      <c r="BN50" s="96"/>
      <c r="BO50" s="96"/>
      <c r="BP50" s="96"/>
      <c r="BQ50" s="96"/>
      <c r="BR50" s="96"/>
      <c r="BS50" s="96"/>
    </row>
    <row r="51" spans="1:71" s="86" customFormat="1" ht="15.95" customHeight="1">
      <c r="A51" s="281" t="s">
        <v>704</v>
      </c>
      <c r="B51" s="281"/>
      <c r="C51" s="281"/>
      <c r="D51" s="282" t="s">
        <v>705</v>
      </c>
      <c r="E51" s="282"/>
      <c r="F51" s="282"/>
      <c r="G51" s="282" t="s">
        <v>677</v>
      </c>
      <c r="H51" s="282"/>
      <c r="I51" s="282"/>
      <c r="J51" s="290">
        <v>68.221999999999994</v>
      </c>
      <c r="K51" s="290"/>
      <c r="L51" s="257" t="str">
        <f t="shared" si="2"/>
        <v>MT</v>
      </c>
      <c r="M51" s="290">
        <v>68.444000000000003</v>
      </c>
      <c r="N51" s="290"/>
      <c r="O51" s="255" t="str">
        <f t="shared" si="0"/>
        <v>MT</v>
      </c>
      <c r="P51" s="258">
        <v>14</v>
      </c>
      <c r="Q51" s="255" t="str">
        <f t="shared" si="3"/>
        <v>coils</v>
      </c>
      <c r="R51" s="258"/>
      <c r="S51" s="258" t="str">
        <f t="shared" si="4"/>
        <v/>
      </c>
      <c r="U51" s="97"/>
      <c r="V51" s="97"/>
      <c r="W51" s="97"/>
      <c r="X51" s="97"/>
      <c r="Y51" s="97"/>
      <c r="Z51" s="97"/>
      <c r="AB51" s="86" t="str">
        <f t="shared" si="1"/>
        <v>coils</v>
      </c>
      <c r="AC51" s="86" t="str">
        <f t="shared" si="5"/>
        <v/>
      </c>
      <c r="AT51" s="98"/>
      <c r="AU51" s="98"/>
      <c r="AV51" s="98"/>
      <c r="AW51" s="98"/>
      <c r="AX51" s="98"/>
      <c r="AY51" s="98"/>
      <c r="AZ51" s="92"/>
      <c r="BA51" s="92"/>
      <c r="BB51" s="95"/>
      <c r="BC51" s="95"/>
      <c r="BD51" s="95"/>
      <c r="BE51" s="96"/>
      <c r="BF51" s="96"/>
      <c r="BG51" s="96"/>
      <c r="BH51" s="96"/>
      <c r="BI51" s="96"/>
      <c r="BJ51" s="96"/>
      <c r="BK51" s="96"/>
      <c r="BL51" s="96"/>
      <c r="BM51" s="96"/>
      <c r="BN51" s="96"/>
      <c r="BO51" s="96"/>
      <c r="BP51" s="96"/>
      <c r="BQ51" s="96"/>
      <c r="BR51" s="96"/>
      <c r="BS51" s="96"/>
    </row>
    <row r="52" spans="1:71" s="86" customFormat="1" ht="15.95" customHeight="1">
      <c r="A52" s="281" t="s">
        <v>706</v>
      </c>
      <c r="B52" s="281"/>
      <c r="C52" s="281"/>
      <c r="D52" s="282" t="s">
        <v>707</v>
      </c>
      <c r="E52" s="282"/>
      <c r="F52" s="282"/>
      <c r="G52" s="282" t="s">
        <v>677</v>
      </c>
      <c r="H52" s="282"/>
      <c r="I52" s="282"/>
      <c r="J52" s="290">
        <v>69.221999999999994</v>
      </c>
      <c r="K52" s="290"/>
      <c r="L52" s="257" t="str">
        <f t="shared" si="2"/>
        <v>MT</v>
      </c>
      <c r="M52" s="290">
        <v>69.444000000000003</v>
      </c>
      <c r="N52" s="290"/>
      <c r="O52" s="255" t="str">
        <f t="shared" si="0"/>
        <v>MT</v>
      </c>
      <c r="P52" s="258">
        <v>15</v>
      </c>
      <c r="Q52" s="255" t="str">
        <f t="shared" si="3"/>
        <v>coils</v>
      </c>
      <c r="R52" s="258"/>
      <c r="S52" s="258" t="str">
        <f t="shared" si="4"/>
        <v/>
      </c>
      <c r="U52" s="97"/>
      <c r="V52" s="97"/>
      <c r="W52" s="97"/>
      <c r="X52" s="97"/>
      <c r="Y52" s="97"/>
      <c r="Z52" s="97"/>
      <c r="AB52" s="86" t="str">
        <f t="shared" si="1"/>
        <v>coils</v>
      </c>
      <c r="AC52" s="86" t="str">
        <f t="shared" si="5"/>
        <v/>
      </c>
      <c r="AL52" s="86">
        <v>11111111</v>
      </c>
      <c r="AT52" s="98"/>
      <c r="AU52" s="98"/>
      <c r="AV52" s="98"/>
      <c r="AW52" s="98"/>
      <c r="AX52" s="98"/>
      <c r="AY52" s="98"/>
      <c r="AZ52" s="92"/>
      <c r="BA52" s="92"/>
      <c r="BB52" s="95"/>
      <c r="BC52" s="95"/>
      <c r="BD52" s="95"/>
      <c r="BE52" s="96"/>
      <c r="BF52" s="96"/>
      <c r="BG52" s="96"/>
      <c r="BH52" s="96"/>
      <c r="BI52" s="96"/>
      <c r="BJ52" s="96"/>
      <c r="BK52" s="96"/>
      <c r="BL52" s="96"/>
      <c r="BM52" s="96"/>
      <c r="BN52" s="96"/>
      <c r="BO52" s="96"/>
      <c r="BP52" s="96"/>
      <c r="BQ52" s="96"/>
      <c r="BR52" s="96"/>
      <c r="BS52" s="96"/>
    </row>
    <row r="53" spans="1:71" s="86" customFormat="1" ht="15.95" customHeight="1">
      <c r="A53" s="281" t="s">
        <v>708</v>
      </c>
      <c r="B53" s="281"/>
      <c r="C53" s="281"/>
      <c r="D53" s="282" t="s">
        <v>709</v>
      </c>
      <c r="E53" s="282"/>
      <c r="F53" s="282"/>
      <c r="G53" s="282" t="s">
        <v>677</v>
      </c>
      <c r="H53" s="282"/>
      <c r="I53" s="282"/>
      <c r="J53" s="290">
        <v>70.221999999999994</v>
      </c>
      <c r="K53" s="290"/>
      <c r="L53" s="257" t="str">
        <f t="shared" si="2"/>
        <v>MT</v>
      </c>
      <c r="M53" s="290">
        <v>70.444000000000003</v>
      </c>
      <c r="N53" s="290"/>
      <c r="O53" s="255" t="str">
        <f t="shared" si="0"/>
        <v>MT</v>
      </c>
      <c r="P53" s="258">
        <v>16</v>
      </c>
      <c r="Q53" s="255" t="str">
        <f t="shared" si="3"/>
        <v>coils</v>
      </c>
      <c r="R53" s="258"/>
      <c r="S53" s="258" t="str">
        <f t="shared" si="4"/>
        <v/>
      </c>
      <c r="U53" s="97"/>
      <c r="V53" s="97"/>
      <c r="W53" s="97"/>
      <c r="X53" s="97"/>
      <c r="Y53" s="97"/>
      <c r="Z53" s="97"/>
      <c r="AB53" s="86" t="str">
        <f t="shared" si="1"/>
        <v>coils</v>
      </c>
      <c r="AC53" s="86" t="str">
        <f t="shared" si="5"/>
        <v/>
      </c>
      <c r="AT53" s="158"/>
      <c r="AU53" s="158"/>
      <c r="AV53" s="158"/>
      <c r="AW53" s="158"/>
      <c r="AX53" s="158"/>
      <c r="AY53" s="158"/>
      <c r="AZ53" s="209"/>
      <c r="BA53" s="209"/>
      <c r="BB53" s="95"/>
      <c r="BC53" s="95"/>
      <c r="BD53" s="95"/>
      <c r="BE53" s="96"/>
      <c r="BF53" s="96"/>
      <c r="BG53" s="96"/>
      <c r="BH53" s="96"/>
      <c r="BI53" s="96"/>
      <c r="BJ53" s="96"/>
      <c r="BK53" s="96"/>
      <c r="BL53" s="96"/>
      <c r="BM53" s="96"/>
      <c r="BN53" s="96"/>
      <c r="BO53" s="96"/>
      <c r="BP53" s="96"/>
      <c r="BQ53" s="96"/>
      <c r="BR53" s="96"/>
      <c r="BS53" s="96"/>
    </row>
    <row r="54" spans="1:71" s="86" customFormat="1" ht="15.95" customHeight="1">
      <c r="A54" s="323" t="s">
        <v>65</v>
      </c>
      <c r="B54" s="324"/>
      <c r="C54" s="324"/>
      <c r="D54" s="324"/>
      <c r="E54" s="324"/>
      <c r="F54" s="324"/>
      <c r="G54" s="324"/>
      <c r="H54" s="324"/>
      <c r="I54" s="325"/>
      <c r="J54" s="290">
        <f>SUM(J38:K53)</f>
        <v>1003.5519999999998</v>
      </c>
      <c r="K54" s="290"/>
      <c r="L54" s="257" t="str">
        <f t="shared" si="2"/>
        <v>MT</v>
      </c>
      <c r="M54" s="290">
        <f>SUM(M38:N53)</f>
        <v>1007.1039999999998</v>
      </c>
      <c r="N54" s="290"/>
      <c r="O54" s="255" t="str">
        <f t="shared" si="0"/>
        <v>MT</v>
      </c>
      <c r="P54" s="258">
        <f>SUM(P38:Q53)</f>
        <v>136</v>
      </c>
      <c r="Q54" s="255" t="str">
        <f t="shared" si="3"/>
        <v>coils</v>
      </c>
      <c r="R54" s="258">
        <f>SUM(R38:S53)</f>
        <v>0</v>
      </c>
      <c r="S54" s="258" t="str">
        <f t="shared" si="4"/>
        <v>bundle</v>
      </c>
      <c r="U54" s="97"/>
      <c r="V54" s="97"/>
      <c r="W54" s="97"/>
      <c r="X54" s="97"/>
      <c r="Y54" s="97"/>
      <c r="Z54" s="97"/>
      <c r="AB54" s="86" t="str">
        <f t="shared" si="1"/>
        <v>coils</v>
      </c>
      <c r="AC54" s="86" t="str">
        <f t="shared" si="5"/>
        <v>bundle</v>
      </c>
      <c r="AT54" s="98"/>
      <c r="AU54" s="98"/>
      <c r="AV54" s="98"/>
      <c r="AW54" s="98"/>
      <c r="AX54" s="98"/>
      <c r="AY54" s="98"/>
      <c r="AZ54" s="92"/>
      <c r="BA54" s="92"/>
      <c r="BB54" s="95"/>
      <c r="BC54" s="95"/>
      <c r="BD54" s="95"/>
      <c r="BE54" s="96"/>
      <c r="BF54" s="96"/>
      <c r="BG54" s="96"/>
      <c r="BH54" s="96"/>
      <c r="BI54" s="96"/>
      <c r="BJ54" s="96"/>
      <c r="BK54" s="96"/>
      <c r="BL54" s="96"/>
      <c r="BM54" s="96"/>
      <c r="BN54" s="96"/>
      <c r="BO54" s="96"/>
      <c r="BP54" s="96"/>
      <c r="BQ54" s="96"/>
      <c r="BR54" s="96"/>
      <c r="BS54" s="96"/>
    </row>
    <row r="55" spans="1:71" s="86" customFormat="1" ht="15.95" customHeight="1">
      <c r="A55" s="135"/>
      <c r="B55" s="135"/>
      <c r="C55" s="135"/>
      <c r="D55" s="135"/>
      <c r="E55" s="135"/>
      <c r="F55" s="135"/>
      <c r="G55" s="135"/>
      <c r="H55" s="135"/>
      <c r="I55" s="147"/>
      <c r="J55" s="147"/>
      <c r="K55" s="147"/>
      <c r="L55" s="97"/>
      <c r="M55" s="147"/>
      <c r="N55" s="147"/>
      <c r="O55" s="147"/>
      <c r="P55" s="97"/>
      <c r="Q55" s="148"/>
      <c r="R55" s="148"/>
      <c r="S55" s="149"/>
      <c r="T55" s="149"/>
      <c r="AL55" s="86">
        <v>555555</v>
      </c>
      <c r="AT55" s="135"/>
      <c r="AU55" s="135"/>
      <c r="AV55" s="135"/>
      <c r="AW55" s="135"/>
      <c r="AX55" s="135"/>
      <c r="AY55" s="135"/>
      <c r="AZ55" s="134"/>
      <c r="BA55" s="134"/>
      <c r="BB55" s="95"/>
      <c r="BC55" s="95"/>
      <c r="BD55" s="95"/>
      <c r="BE55" s="96"/>
      <c r="BF55" s="96"/>
      <c r="BG55" s="96"/>
      <c r="BH55" s="96"/>
      <c r="BI55" s="96"/>
      <c r="BJ55" s="96"/>
      <c r="BK55" s="96"/>
      <c r="BL55" s="96"/>
      <c r="BM55" s="96"/>
      <c r="BN55" s="96"/>
      <c r="BO55" s="96"/>
      <c r="BP55" s="96"/>
      <c r="BQ55" s="96"/>
      <c r="BR55" s="96"/>
      <c r="BS55" s="96"/>
    </row>
    <row r="56" spans="1:71" s="86" customFormat="1" ht="15.95" customHeight="1">
      <c r="A56" s="294" t="s">
        <v>751</v>
      </c>
      <c r="B56" s="295"/>
      <c r="C56" s="295"/>
      <c r="D56" s="295"/>
      <c r="E56" s="295"/>
      <c r="F56" s="296"/>
      <c r="G56" s="294" t="s">
        <v>675</v>
      </c>
      <c r="H56" s="295"/>
      <c r="I56" s="295"/>
      <c r="J56" s="252">
        <v>1</v>
      </c>
      <c r="K56" s="294" t="s">
        <v>675</v>
      </c>
      <c r="L56" s="295"/>
      <c r="M56" s="295"/>
      <c r="N56" s="252">
        <v>2</v>
      </c>
      <c r="O56" s="294" t="s">
        <v>675</v>
      </c>
      <c r="P56" s="295"/>
      <c r="Q56" s="295"/>
      <c r="R56" s="252">
        <v>3</v>
      </c>
      <c r="S56" s="294" t="s">
        <v>675</v>
      </c>
      <c r="T56" s="295"/>
      <c r="U56" s="295"/>
      <c r="V56" s="252">
        <v>4</v>
      </c>
      <c r="W56" s="294" t="s">
        <v>675</v>
      </c>
      <c r="X56" s="295"/>
      <c r="Y56" s="295"/>
      <c r="Z56" s="252">
        <v>5</v>
      </c>
      <c r="AT56" s="158"/>
      <c r="AU56" s="158"/>
      <c r="AV56" s="158"/>
      <c r="AW56" s="158"/>
      <c r="AX56" s="158"/>
      <c r="AY56" s="158"/>
      <c r="AZ56" s="209"/>
      <c r="BA56" s="209"/>
      <c r="BB56" s="95"/>
      <c r="BC56" s="95"/>
      <c r="BD56" s="95"/>
      <c r="BE56" s="96"/>
      <c r="BF56" s="96"/>
      <c r="BG56" s="96"/>
      <c r="BH56" s="96"/>
      <c r="BI56" s="96"/>
      <c r="BJ56" s="96"/>
      <c r="BK56" s="96"/>
      <c r="BL56" s="96"/>
      <c r="BM56" s="96"/>
      <c r="BN56" s="96"/>
      <c r="BO56" s="96"/>
      <c r="BP56" s="96"/>
      <c r="BQ56" s="96"/>
      <c r="BR56" s="96"/>
      <c r="BS56" s="96"/>
    </row>
    <row r="57" spans="1:71" s="86" customFormat="1" ht="15.95" customHeight="1">
      <c r="A57" s="293" t="str">
        <f t="shared" ref="A57:A72" si="6">IF(A38="","",A38)</f>
        <v>PPG112545</v>
      </c>
      <c r="B57" s="279"/>
      <c r="C57" s="279"/>
      <c r="D57" s="279"/>
      <c r="E57" s="279"/>
      <c r="F57" s="280"/>
      <c r="G57" s="291"/>
      <c r="H57" s="292"/>
      <c r="I57" s="279" t="str">
        <f>IF($A57="","",IF(G57="","-",IF(G57&gt;1,$W$35&amp;"s",$W$35)))</f>
        <v>-</v>
      </c>
      <c r="J57" s="280"/>
      <c r="K57" s="291"/>
      <c r="L57" s="292"/>
      <c r="M57" s="279" t="str">
        <f>IF($A57="","",IF(K57="","-",IF(K57&gt;1,$W$35&amp;"s",$W$35)))</f>
        <v>-</v>
      </c>
      <c r="N57" s="280"/>
      <c r="O57" s="291"/>
      <c r="P57" s="292"/>
      <c r="Q57" s="279" t="str">
        <f>IF($A57="","",IF(O57="","-",IF(O57&gt;1,$W$35&amp;"s",$W$35)))</f>
        <v>-</v>
      </c>
      <c r="R57" s="280"/>
      <c r="S57" s="291"/>
      <c r="T57" s="292"/>
      <c r="U57" s="279" t="str">
        <f>IF($A57="","",IF(S57="","-",IF(S57&gt;1,$W$35&amp;"s",$W$35)))</f>
        <v>-</v>
      </c>
      <c r="V57" s="280"/>
      <c r="W57" s="291"/>
      <c r="X57" s="292"/>
      <c r="Y57" s="279" t="str">
        <f>IF($A57="","",IF(W57="","-",IF(W57&gt;1,$W$35&amp;"s",$W$35)))</f>
        <v>-</v>
      </c>
      <c r="Z57" s="280"/>
      <c r="AT57" s="158"/>
      <c r="AU57" s="158"/>
      <c r="AV57" s="158"/>
      <c r="AW57" s="158"/>
      <c r="AX57" s="158"/>
      <c r="AY57" s="158"/>
      <c r="AZ57" s="209"/>
      <c r="BA57" s="209"/>
      <c r="BB57" s="95"/>
      <c r="BC57" s="95"/>
      <c r="BD57" s="95"/>
      <c r="BE57" s="96"/>
      <c r="BF57" s="96"/>
      <c r="BG57" s="96"/>
      <c r="BH57" s="96"/>
      <c r="BI57" s="96"/>
      <c r="BJ57" s="96"/>
      <c r="BK57" s="96"/>
      <c r="BL57" s="96"/>
      <c r="BM57" s="96"/>
      <c r="BN57" s="96"/>
      <c r="BO57" s="96"/>
      <c r="BP57" s="96"/>
      <c r="BQ57" s="96"/>
      <c r="BR57" s="96"/>
      <c r="BS57" s="96"/>
    </row>
    <row r="58" spans="1:71" s="86" customFormat="1" ht="15.95" customHeight="1">
      <c r="A58" s="293" t="str">
        <f t="shared" si="6"/>
        <v>PPG112546</v>
      </c>
      <c r="B58" s="279"/>
      <c r="C58" s="279"/>
      <c r="D58" s="279"/>
      <c r="E58" s="279"/>
      <c r="F58" s="280"/>
      <c r="G58" s="291">
        <v>2</v>
      </c>
      <c r="H58" s="292"/>
      <c r="I58" s="279" t="str">
        <f t="shared" ref="I58:I73" si="7">IF($A58="","",IF(G58="","-",IF(G58&gt;1,$W$35&amp;"s",$W$35)))</f>
        <v>coils</v>
      </c>
      <c r="J58" s="280"/>
      <c r="K58" s="291"/>
      <c r="L58" s="292"/>
      <c r="M58" s="279" t="str">
        <f t="shared" ref="M58:M73" si="8">IF($A58="","",IF(K58="","-",IF(K58&gt;1,$W$35&amp;"s",$W$35)))</f>
        <v>-</v>
      </c>
      <c r="N58" s="280"/>
      <c r="O58" s="291"/>
      <c r="P58" s="292"/>
      <c r="Q58" s="279" t="str">
        <f t="shared" ref="Q58:Q73" si="9">IF($A58="","",IF(O58="","-",IF(O58&gt;1,$W$35&amp;"s",$W$35)))</f>
        <v>-</v>
      </c>
      <c r="R58" s="280"/>
      <c r="S58" s="291"/>
      <c r="T58" s="292"/>
      <c r="U58" s="279" t="str">
        <f t="shared" ref="U58:U73" si="10">IF($A58="","",IF(S58="","-",IF(S58&gt;1,$W$35&amp;"s",$W$35)))</f>
        <v>-</v>
      </c>
      <c r="V58" s="280"/>
      <c r="W58" s="291"/>
      <c r="X58" s="292"/>
      <c r="Y58" s="279" t="str">
        <f t="shared" ref="Y58:Y73" si="11">IF($A58="","",IF(W58="","-",IF(W58&gt;1,$W$35&amp;"s",$W$35)))</f>
        <v>-</v>
      </c>
      <c r="Z58" s="280"/>
      <c r="AT58" s="158"/>
      <c r="AU58" s="158"/>
      <c r="AV58" s="158"/>
      <c r="AW58" s="158"/>
      <c r="AX58" s="158"/>
      <c r="AY58" s="158"/>
      <c r="AZ58" s="209"/>
      <c r="BA58" s="209"/>
      <c r="BB58" s="95"/>
      <c r="BC58" s="95"/>
      <c r="BD58" s="95"/>
      <c r="BE58" s="96"/>
      <c r="BF58" s="96"/>
      <c r="BG58" s="96"/>
      <c r="BH58" s="96"/>
      <c r="BI58" s="96"/>
      <c r="BJ58" s="96"/>
      <c r="BK58" s="96"/>
      <c r="BL58" s="96"/>
      <c r="BM58" s="96"/>
      <c r="BN58" s="96"/>
      <c r="BO58" s="96"/>
      <c r="BP58" s="96"/>
      <c r="BQ58" s="96"/>
      <c r="BR58" s="96"/>
      <c r="BS58" s="96"/>
    </row>
    <row r="59" spans="1:71" s="86" customFormat="1" ht="15.95" customHeight="1">
      <c r="A59" s="293" t="str">
        <f t="shared" si="6"/>
        <v>PPG112547</v>
      </c>
      <c r="B59" s="279"/>
      <c r="C59" s="279"/>
      <c r="D59" s="279"/>
      <c r="E59" s="279"/>
      <c r="F59" s="280"/>
      <c r="G59" s="291">
        <v>3</v>
      </c>
      <c r="H59" s="292"/>
      <c r="I59" s="279" t="str">
        <f t="shared" si="7"/>
        <v>coils</v>
      </c>
      <c r="J59" s="280"/>
      <c r="K59" s="291"/>
      <c r="L59" s="292"/>
      <c r="M59" s="279" t="str">
        <f t="shared" si="8"/>
        <v>-</v>
      </c>
      <c r="N59" s="280"/>
      <c r="O59" s="291"/>
      <c r="P59" s="292"/>
      <c r="Q59" s="279" t="str">
        <f t="shared" si="9"/>
        <v>-</v>
      </c>
      <c r="R59" s="280"/>
      <c r="S59" s="291"/>
      <c r="T59" s="292"/>
      <c r="U59" s="279" t="str">
        <f t="shared" si="10"/>
        <v>-</v>
      </c>
      <c r="V59" s="280"/>
      <c r="W59" s="291"/>
      <c r="X59" s="292"/>
      <c r="Y59" s="279" t="str">
        <f t="shared" si="11"/>
        <v>-</v>
      </c>
      <c r="Z59" s="280"/>
      <c r="AT59" s="158"/>
      <c r="AU59" s="158"/>
      <c r="AV59" s="158"/>
      <c r="AW59" s="158"/>
      <c r="AX59" s="158"/>
      <c r="AY59" s="158"/>
      <c r="AZ59" s="209"/>
      <c r="BA59" s="209"/>
      <c r="BB59" s="95"/>
      <c r="BC59" s="95"/>
      <c r="BD59" s="95"/>
      <c r="BE59" s="96"/>
      <c r="BF59" s="96"/>
      <c r="BG59" s="96"/>
      <c r="BH59" s="96"/>
      <c r="BI59" s="96"/>
      <c r="BJ59" s="96"/>
      <c r="BK59" s="96"/>
      <c r="BL59" s="96"/>
      <c r="BM59" s="96"/>
      <c r="BN59" s="96"/>
      <c r="BO59" s="96"/>
      <c r="BP59" s="96"/>
      <c r="BQ59" s="96"/>
      <c r="BR59" s="96"/>
      <c r="BS59" s="96"/>
    </row>
    <row r="60" spans="1:71" s="86" customFormat="1" ht="15.95" customHeight="1">
      <c r="A60" s="293" t="str">
        <f t="shared" si="6"/>
        <v>PPG112548</v>
      </c>
      <c r="B60" s="279"/>
      <c r="C60" s="279"/>
      <c r="D60" s="279"/>
      <c r="E60" s="279"/>
      <c r="F60" s="280"/>
      <c r="G60" s="291">
        <v>3</v>
      </c>
      <c r="H60" s="292"/>
      <c r="I60" s="279" t="str">
        <f t="shared" si="7"/>
        <v>coils</v>
      </c>
      <c r="J60" s="280"/>
      <c r="K60" s="291"/>
      <c r="L60" s="292"/>
      <c r="M60" s="279" t="str">
        <f t="shared" si="8"/>
        <v>-</v>
      </c>
      <c r="N60" s="280"/>
      <c r="O60" s="291"/>
      <c r="P60" s="292"/>
      <c r="Q60" s="279" t="str">
        <f t="shared" si="9"/>
        <v>-</v>
      </c>
      <c r="R60" s="280"/>
      <c r="S60" s="291"/>
      <c r="T60" s="292"/>
      <c r="U60" s="279" t="str">
        <f t="shared" si="10"/>
        <v>-</v>
      </c>
      <c r="V60" s="280"/>
      <c r="W60" s="291"/>
      <c r="X60" s="292"/>
      <c r="Y60" s="279" t="str">
        <f t="shared" si="11"/>
        <v>-</v>
      </c>
      <c r="Z60" s="280"/>
      <c r="AT60" s="158"/>
      <c r="AU60" s="158"/>
      <c r="AV60" s="158"/>
      <c r="AW60" s="158"/>
      <c r="AX60" s="158"/>
      <c r="AY60" s="158"/>
      <c r="AZ60" s="209"/>
      <c r="BA60" s="209"/>
      <c r="BB60" s="95"/>
      <c r="BC60" s="95"/>
      <c r="BD60" s="95"/>
      <c r="BE60" s="96"/>
      <c r="BF60" s="96"/>
      <c r="BG60" s="96"/>
      <c r="BH60" s="96"/>
      <c r="BI60" s="96"/>
      <c r="BJ60" s="96"/>
      <c r="BK60" s="96"/>
      <c r="BL60" s="96"/>
      <c r="BM60" s="96"/>
      <c r="BN60" s="96"/>
      <c r="BO60" s="96"/>
      <c r="BP60" s="96"/>
      <c r="BQ60" s="96"/>
      <c r="BR60" s="96"/>
      <c r="BS60" s="96"/>
    </row>
    <row r="61" spans="1:71" s="86" customFormat="1" ht="15.95" customHeight="1">
      <c r="A61" s="293" t="str">
        <f t="shared" si="6"/>
        <v>PPG112549</v>
      </c>
      <c r="B61" s="279"/>
      <c r="C61" s="279"/>
      <c r="D61" s="279"/>
      <c r="E61" s="279"/>
      <c r="F61" s="280"/>
      <c r="G61" s="291">
        <v>4</v>
      </c>
      <c r="H61" s="292"/>
      <c r="I61" s="279" t="str">
        <f t="shared" si="7"/>
        <v>coils</v>
      </c>
      <c r="J61" s="280"/>
      <c r="K61" s="291"/>
      <c r="L61" s="292"/>
      <c r="M61" s="279" t="str">
        <f t="shared" si="8"/>
        <v>-</v>
      </c>
      <c r="N61" s="280"/>
      <c r="O61" s="291"/>
      <c r="P61" s="292"/>
      <c r="Q61" s="279" t="str">
        <f t="shared" si="9"/>
        <v>-</v>
      </c>
      <c r="R61" s="280"/>
      <c r="S61" s="291"/>
      <c r="T61" s="292"/>
      <c r="U61" s="279" t="str">
        <f t="shared" si="10"/>
        <v>-</v>
      </c>
      <c r="V61" s="280"/>
      <c r="W61" s="291"/>
      <c r="X61" s="292"/>
      <c r="Y61" s="279" t="str">
        <f t="shared" si="11"/>
        <v>-</v>
      </c>
      <c r="Z61" s="280"/>
      <c r="AT61" s="158"/>
      <c r="AU61" s="158"/>
      <c r="AV61" s="158"/>
      <c r="AW61" s="158"/>
      <c r="AX61" s="158"/>
      <c r="AY61" s="158"/>
      <c r="AZ61" s="209"/>
      <c r="BA61" s="209"/>
      <c r="BB61" s="95"/>
      <c r="BC61" s="95"/>
      <c r="BD61" s="95"/>
      <c r="BE61" s="96"/>
      <c r="BF61" s="96"/>
      <c r="BG61" s="96"/>
      <c r="BH61" s="96"/>
      <c r="BI61" s="96"/>
      <c r="BJ61" s="96"/>
      <c r="BK61" s="96"/>
      <c r="BL61" s="96"/>
      <c r="BM61" s="96"/>
      <c r="BN61" s="96"/>
      <c r="BO61" s="96"/>
      <c r="BP61" s="96"/>
      <c r="BQ61" s="96"/>
      <c r="BR61" s="96"/>
      <c r="BS61" s="96"/>
    </row>
    <row r="62" spans="1:71" s="86" customFormat="1" ht="15.95" customHeight="1">
      <c r="A62" s="293" t="str">
        <f t="shared" si="6"/>
        <v>PPG112550</v>
      </c>
      <c r="B62" s="279"/>
      <c r="C62" s="279"/>
      <c r="D62" s="279"/>
      <c r="E62" s="279"/>
      <c r="F62" s="280"/>
      <c r="G62" s="291">
        <v>5</v>
      </c>
      <c r="H62" s="292"/>
      <c r="I62" s="279" t="str">
        <f t="shared" si="7"/>
        <v>coils</v>
      </c>
      <c r="J62" s="280"/>
      <c r="K62" s="291"/>
      <c r="L62" s="292"/>
      <c r="M62" s="279" t="str">
        <f t="shared" si="8"/>
        <v>-</v>
      </c>
      <c r="N62" s="280"/>
      <c r="O62" s="291"/>
      <c r="P62" s="292"/>
      <c r="Q62" s="279" t="str">
        <f t="shared" si="9"/>
        <v>-</v>
      </c>
      <c r="R62" s="280"/>
      <c r="S62" s="291"/>
      <c r="T62" s="292"/>
      <c r="U62" s="279" t="str">
        <f t="shared" si="10"/>
        <v>-</v>
      </c>
      <c r="V62" s="280"/>
      <c r="W62" s="291"/>
      <c r="X62" s="292"/>
      <c r="Y62" s="279" t="str">
        <f t="shared" si="11"/>
        <v>-</v>
      </c>
      <c r="Z62" s="280"/>
      <c r="AT62" s="158"/>
      <c r="AU62" s="158"/>
      <c r="AV62" s="158"/>
      <c r="AW62" s="158"/>
      <c r="AX62" s="158"/>
      <c r="AY62" s="158"/>
      <c r="AZ62" s="209"/>
      <c r="BA62" s="209"/>
      <c r="BB62" s="95"/>
      <c r="BC62" s="95"/>
      <c r="BD62" s="95"/>
      <c r="BE62" s="96"/>
      <c r="BF62" s="96"/>
      <c r="BG62" s="96"/>
      <c r="BH62" s="96"/>
      <c r="BI62" s="96"/>
      <c r="BJ62" s="96"/>
      <c r="BK62" s="96"/>
      <c r="BL62" s="96"/>
      <c r="BM62" s="96"/>
      <c r="BN62" s="96"/>
      <c r="BO62" s="96"/>
      <c r="BP62" s="96"/>
      <c r="BQ62" s="96"/>
      <c r="BR62" s="96"/>
      <c r="BS62" s="96"/>
    </row>
    <row r="63" spans="1:71" s="86" customFormat="1" ht="15.95" customHeight="1">
      <c r="A63" s="293" t="str">
        <f t="shared" si="6"/>
        <v>PPG112551</v>
      </c>
      <c r="B63" s="279"/>
      <c r="C63" s="279"/>
      <c r="D63" s="279"/>
      <c r="E63" s="279"/>
      <c r="F63" s="280"/>
      <c r="G63" s="291">
        <v>6</v>
      </c>
      <c r="H63" s="292"/>
      <c r="I63" s="279" t="str">
        <f t="shared" si="7"/>
        <v>coils</v>
      </c>
      <c r="J63" s="280"/>
      <c r="K63" s="291"/>
      <c r="L63" s="292"/>
      <c r="M63" s="279" t="str">
        <f t="shared" si="8"/>
        <v>-</v>
      </c>
      <c r="N63" s="280"/>
      <c r="O63" s="291"/>
      <c r="P63" s="292"/>
      <c r="Q63" s="279" t="str">
        <f t="shared" si="9"/>
        <v>-</v>
      </c>
      <c r="R63" s="280"/>
      <c r="S63" s="291"/>
      <c r="T63" s="292"/>
      <c r="U63" s="279" t="str">
        <f t="shared" si="10"/>
        <v>-</v>
      </c>
      <c r="V63" s="280"/>
      <c r="W63" s="291"/>
      <c r="X63" s="292"/>
      <c r="Y63" s="279" t="str">
        <f t="shared" si="11"/>
        <v>-</v>
      </c>
      <c r="Z63" s="280"/>
      <c r="AT63" s="158"/>
      <c r="AU63" s="158"/>
      <c r="AV63" s="158"/>
      <c r="AW63" s="158"/>
      <c r="AX63" s="158"/>
      <c r="AY63" s="158"/>
      <c r="AZ63" s="209"/>
      <c r="BA63" s="209"/>
      <c r="BB63" s="95"/>
      <c r="BC63" s="95"/>
      <c r="BD63" s="95"/>
      <c r="BE63" s="96"/>
      <c r="BF63" s="96"/>
      <c r="BG63" s="96"/>
      <c r="BH63" s="96"/>
      <c r="BI63" s="96"/>
      <c r="BJ63" s="96"/>
      <c r="BK63" s="96"/>
      <c r="BL63" s="96"/>
      <c r="BM63" s="96"/>
      <c r="BN63" s="96"/>
      <c r="BO63" s="96"/>
      <c r="BP63" s="96"/>
      <c r="BQ63" s="96"/>
      <c r="BR63" s="96"/>
      <c r="BS63" s="96"/>
    </row>
    <row r="64" spans="1:71" s="86" customFormat="1" ht="15.95" customHeight="1">
      <c r="A64" s="293" t="str">
        <f t="shared" si="6"/>
        <v>PPG112552</v>
      </c>
      <c r="B64" s="279"/>
      <c r="C64" s="279"/>
      <c r="D64" s="279"/>
      <c r="E64" s="279"/>
      <c r="F64" s="280"/>
      <c r="G64" s="291">
        <v>8</v>
      </c>
      <c r="H64" s="292"/>
      <c r="I64" s="279" t="str">
        <f t="shared" si="7"/>
        <v>coils</v>
      </c>
      <c r="J64" s="280"/>
      <c r="K64" s="291"/>
      <c r="L64" s="292"/>
      <c r="M64" s="279" t="str">
        <f t="shared" si="8"/>
        <v>-</v>
      </c>
      <c r="N64" s="280"/>
      <c r="O64" s="291"/>
      <c r="P64" s="292"/>
      <c r="Q64" s="279" t="str">
        <f t="shared" si="9"/>
        <v>-</v>
      </c>
      <c r="R64" s="280"/>
      <c r="S64" s="291"/>
      <c r="T64" s="292"/>
      <c r="U64" s="279" t="str">
        <f t="shared" si="10"/>
        <v>-</v>
      </c>
      <c r="V64" s="280"/>
      <c r="W64" s="291"/>
      <c r="X64" s="292"/>
      <c r="Y64" s="279" t="str">
        <f t="shared" si="11"/>
        <v>-</v>
      </c>
      <c r="Z64" s="280"/>
      <c r="AT64" s="158"/>
      <c r="AU64" s="158"/>
      <c r="AV64" s="158"/>
      <c r="AW64" s="158"/>
      <c r="AX64" s="158"/>
      <c r="AY64" s="158"/>
      <c r="AZ64" s="209"/>
      <c r="BA64" s="209"/>
      <c r="BB64" s="95"/>
      <c r="BC64" s="95"/>
      <c r="BD64" s="95"/>
      <c r="BE64" s="96"/>
      <c r="BF64" s="96"/>
      <c r="BG64" s="96"/>
      <c r="BH64" s="96"/>
      <c r="BI64" s="96"/>
      <c r="BJ64" s="96"/>
      <c r="BK64" s="96"/>
      <c r="BL64" s="96"/>
      <c r="BM64" s="96"/>
      <c r="BN64" s="96"/>
      <c r="BO64" s="96"/>
      <c r="BP64" s="96"/>
      <c r="BQ64" s="96"/>
      <c r="BR64" s="96"/>
      <c r="BS64" s="96"/>
    </row>
    <row r="65" spans="1:71" s="86" customFormat="1" ht="15.95" customHeight="1">
      <c r="A65" s="293" t="str">
        <f t="shared" si="6"/>
        <v>PPG112553</v>
      </c>
      <c r="B65" s="279"/>
      <c r="C65" s="279"/>
      <c r="D65" s="279"/>
      <c r="E65" s="279"/>
      <c r="F65" s="280"/>
      <c r="G65" s="291"/>
      <c r="H65" s="292"/>
      <c r="I65" s="279" t="str">
        <f t="shared" si="7"/>
        <v>-</v>
      </c>
      <c r="J65" s="280"/>
      <c r="K65" s="291"/>
      <c r="L65" s="292"/>
      <c r="M65" s="279" t="str">
        <f t="shared" si="8"/>
        <v>-</v>
      </c>
      <c r="N65" s="280"/>
      <c r="O65" s="291"/>
      <c r="P65" s="292"/>
      <c r="Q65" s="279" t="str">
        <f t="shared" si="9"/>
        <v>-</v>
      </c>
      <c r="R65" s="280"/>
      <c r="S65" s="291"/>
      <c r="T65" s="292"/>
      <c r="U65" s="279" t="str">
        <f t="shared" si="10"/>
        <v>-</v>
      </c>
      <c r="V65" s="280"/>
      <c r="W65" s="291"/>
      <c r="X65" s="292"/>
      <c r="Y65" s="279" t="str">
        <f t="shared" si="11"/>
        <v>-</v>
      </c>
      <c r="Z65" s="280"/>
      <c r="AT65" s="158"/>
      <c r="AU65" s="158"/>
      <c r="AV65" s="158"/>
      <c r="AW65" s="158"/>
      <c r="AX65" s="158"/>
      <c r="AY65" s="158"/>
      <c r="AZ65" s="209"/>
      <c r="BA65" s="209"/>
      <c r="BB65" s="95"/>
      <c r="BC65" s="95"/>
      <c r="BD65" s="95"/>
      <c r="BE65" s="96"/>
      <c r="BF65" s="96"/>
      <c r="BG65" s="96"/>
      <c r="BH65" s="96"/>
      <c r="BI65" s="96"/>
      <c r="BJ65" s="96"/>
      <c r="BK65" s="96"/>
      <c r="BL65" s="96"/>
      <c r="BM65" s="96"/>
      <c r="BN65" s="96"/>
      <c r="BO65" s="96"/>
      <c r="BP65" s="96"/>
      <c r="BQ65" s="96"/>
      <c r="BR65" s="96"/>
      <c r="BS65" s="96"/>
    </row>
    <row r="66" spans="1:71" s="86" customFormat="1" ht="15.95" customHeight="1">
      <c r="A66" s="293" t="str">
        <f t="shared" si="6"/>
        <v>PPG112554</v>
      </c>
      <c r="B66" s="279"/>
      <c r="C66" s="279"/>
      <c r="D66" s="279"/>
      <c r="E66" s="279"/>
      <c r="F66" s="280"/>
      <c r="G66" s="291"/>
      <c r="H66" s="292"/>
      <c r="I66" s="279" t="str">
        <f t="shared" si="7"/>
        <v>-</v>
      </c>
      <c r="J66" s="280"/>
      <c r="K66" s="291"/>
      <c r="L66" s="292"/>
      <c r="M66" s="279" t="str">
        <f t="shared" si="8"/>
        <v>-</v>
      </c>
      <c r="N66" s="280"/>
      <c r="O66" s="291"/>
      <c r="P66" s="292"/>
      <c r="Q66" s="279" t="str">
        <f t="shared" si="9"/>
        <v>-</v>
      </c>
      <c r="R66" s="280"/>
      <c r="S66" s="291"/>
      <c r="T66" s="292"/>
      <c r="U66" s="279" t="str">
        <f t="shared" si="10"/>
        <v>-</v>
      </c>
      <c r="V66" s="280"/>
      <c r="W66" s="291"/>
      <c r="X66" s="292"/>
      <c r="Y66" s="279" t="str">
        <f t="shared" si="11"/>
        <v>-</v>
      </c>
      <c r="Z66" s="280"/>
      <c r="AT66" s="158"/>
      <c r="AU66" s="158"/>
      <c r="AV66" s="158"/>
      <c r="AW66" s="158"/>
      <c r="AX66" s="158"/>
      <c r="AY66" s="158"/>
      <c r="AZ66" s="209"/>
      <c r="BA66" s="209"/>
      <c r="BB66" s="95"/>
      <c r="BC66" s="95"/>
      <c r="BD66" s="95"/>
      <c r="BE66" s="96"/>
      <c r="BF66" s="96"/>
      <c r="BG66" s="96"/>
      <c r="BH66" s="96"/>
      <c r="BI66" s="96"/>
      <c r="BJ66" s="96"/>
      <c r="BK66" s="96"/>
      <c r="BL66" s="96"/>
      <c r="BM66" s="96"/>
      <c r="BN66" s="96"/>
      <c r="BO66" s="96"/>
      <c r="BP66" s="96"/>
      <c r="BQ66" s="96"/>
      <c r="BR66" s="96"/>
      <c r="BS66" s="96"/>
    </row>
    <row r="67" spans="1:71" s="86" customFormat="1" ht="15.95" customHeight="1">
      <c r="A67" s="293" t="str">
        <f t="shared" si="6"/>
        <v>PPG112555</v>
      </c>
      <c r="B67" s="279"/>
      <c r="C67" s="279"/>
      <c r="D67" s="279"/>
      <c r="E67" s="279"/>
      <c r="F67" s="280"/>
      <c r="G67" s="291"/>
      <c r="H67" s="292"/>
      <c r="I67" s="279" t="str">
        <f t="shared" si="7"/>
        <v>-</v>
      </c>
      <c r="J67" s="280"/>
      <c r="K67" s="291"/>
      <c r="L67" s="292"/>
      <c r="M67" s="279" t="str">
        <f t="shared" si="8"/>
        <v>-</v>
      </c>
      <c r="N67" s="280"/>
      <c r="O67" s="291"/>
      <c r="P67" s="292"/>
      <c r="Q67" s="279" t="str">
        <f t="shared" si="9"/>
        <v>-</v>
      </c>
      <c r="R67" s="280"/>
      <c r="S67" s="291"/>
      <c r="T67" s="292"/>
      <c r="U67" s="279" t="str">
        <f t="shared" si="10"/>
        <v>-</v>
      </c>
      <c r="V67" s="280"/>
      <c r="W67" s="291"/>
      <c r="X67" s="292"/>
      <c r="Y67" s="279" t="str">
        <f t="shared" si="11"/>
        <v>-</v>
      </c>
      <c r="Z67" s="280"/>
      <c r="AT67" s="158"/>
      <c r="AU67" s="158"/>
      <c r="AV67" s="158"/>
      <c r="AW67" s="158"/>
      <c r="AX67" s="158"/>
      <c r="AY67" s="158"/>
      <c r="AZ67" s="209"/>
      <c r="BA67" s="209"/>
      <c r="BB67" s="95"/>
      <c r="BC67" s="95"/>
      <c r="BD67" s="95"/>
      <c r="BE67" s="96"/>
      <c r="BF67" s="96"/>
      <c r="BG67" s="96"/>
      <c r="BH67" s="96"/>
      <c r="BI67" s="96"/>
      <c r="BJ67" s="96"/>
      <c r="BK67" s="96"/>
      <c r="BL67" s="96"/>
      <c r="BM67" s="96"/>
      <c r="BN67" s="96"/>
      <c r="BO67" s="96"/>
      <c r="BP67" s="96"/>
      <c r="BQ67" s="96"/>
      <c r="BR67" s="96"/>
      <c r="BS67" s="96"/>
    </row>
    <row r="68" spans="1:71" s="86" customFormat="1" ht="15.95" customHeight="1">
      <c r="A68" s="293" t="str">
        <f t="shared" si="6"/>
        <v>PPG112556</v>
      </c>
      <c r="B68" s="279"/>
      <c r="C68" s="279"/>
      <c r="D68" s="279"/>
      <c r="E68" s="279"/>
      <c r="F68" s="280"/>
      <c r="G68" s="291"/>
      <c r="H68" s="292"/>
      <c r="I68" s="279" t="str">
        <f t="shared" si="7"/>
        <v>-</v>
      </c>
      <c r="J68" s="280"/>
      <c r="K68" s="291"/>
      <c r="L68" s="292"/>
      <c r="M68" s="279" t="str">
        <f t="shared" si="8"/>
        <v>-</v>
      </c>
      <c r="N68" s="280"/>
      <c r="O68" s="291"/>
      <c r="P68" s="292"/>
      <c r="Q68" s="279" t="str">
        <f t="shared" si="9"/>
        <v>-</v>
      </c>
      <c r="R68" s="280"/>
      <c r="S68" s="291"/>
      <c r="T68" s="292"/>
      <c r="U68" s="279" t="str">
        <f t="shared" si="10"/>
        <v>-</v>
      </c>
      <c r="V68" s="280"/>
      <c r="W68" s="291"/>
      <c r="X68" s="292"/>
      <c r="Y68" s="279" t="str">
        <f t="shared" si="11"/>
        <v>-</v>
      </c>
      <c r="Z68" s="280"/>
      <c r="AT68" s="158"/>
      <c r="AU68" s="158"/>
      <c r="AV68" s="158"/>
      <c r="AW68" s="158"/>
      <c r="AX68" s="158"/>
      <c r="AY68" s="158"/>
      <c r="AZ68" s="209"/>
      <c r="BA68" s="209"/>
      <c r="BB68" s="95"/>
      <c r="BC68" s="95"/>
      <c r="BD68" s="95"/>
      <c r="BE68" s="96"/>
      <c r="BF68" s="96"/>
      <c r="BG68" s="96"/>
      <c r="BH68" s="96"/>
      <c r="BI68" s="96"/>
      <c r="BJ68" s="96"/>
      <c r="BK68" s="96"/>
      <c r="BL68" s="96"/>
      <c r="BM68" s="96"/>
      <c r="BN68" s="96"/>
      <c r="BO68" s="96"/>
      <c r="BP68" s="96"/>
      <c r="BQ68" s="96"/>
      <c r="BR68" s="96"/>
      <c r="BS68" s="96"/>
    </row>
    <row r="69" spans="1:71" s="86" customFormat="1" ht="15.95" customHeight="1">
      <c r="A69" s="293" t="str">
        <f t="shared" si="6"/>
        <v>PPG112557</v>
      </c>
      <c r="B69" s="279"/>
      <c r="C69" s="279"/>
      <c r="D69" s="279"/>
      <c r="E69" s="279"/>
      <c r="F69" s="280"/>
      <c r="G69" s="291"/>
      <c r="H69" s="292"/>
      <c r="I69" s="279" t="str">
        <f t="shared" si="7"/>
        <v>-</v>
      </c>
      <c r="J69" s="280"/>
      <c r="K69" s="291"/>
      <c r="L69" s="292"/>
      <c r="M69" s="279" t="str">
        <f t="shared" si="8"/>
        <v>-</v>
      </c>
      <c r="N69" s="280"/>
      <c r="O69" s="291"/>
      <c r="P69" s="292"/>
      <c r="Q69" s="279" t="str">
        <f t="shared" si="9"/>
        <v>-</v>
      </c>
      <c r="R69" s="280"/>
      <c r="S69" s="291"/>
      <c r="T69" s="292"/>
      <c r="U69" s="279" t="str">
        <f t="shared" si="10"/>
        <v>-</v>
      </c>
      <c r="V69" s="280"/>
      <c r="W69" s="291"/>
      <c r="X69" s="292"/>
      <c r="Y69" s="279" t="str">
        <f t="shared" si="11"/>
        <v>-</v>
      </c>
      <c r="Z69" s="280"/>
      <c r="AT69" s="158"/>
      <c r="AU69" s="158"/>
      <c r="AV69" s="158"/>
      <c r="AW69" s="158"/>
      <c r="AX69" s="158"/>
      <c r="AY69" s="158"/>
      <c r="AZ69" s="209"/>
      <c r="BA69" s="209"/>
      <c r="BB69" s="95"/>
      <c r="BC69" s="95"/>
      <c r="BD69" s="95"/>
      <c r="BE69" s="96"/>
      <c r="BF69" s="96"/>
      <c r="BG69" s="96"/>
      <c r="BH69" s="96"/>
      <c r="BI69" s="96"/>
      <c r="BJ69" s="96"/>
      <c r="BK69" s="96"/>
      <c r="BL69" s="96"/>
      <c r="BM69" s="96"/>
      <c r="BN69" s="96"/>
      <c r="BO69" s="96"/>
      <c r="BP69" s="96"/>
      <c r="BQ69" s="96"/>
      <c r="BR69" s="96"/>
      <c r="BS69" s="96"/>
    </row>
    <row r="70" spans="1:71" s="86" customFormat="1" ht="15.95" customHeight="1">
      <c r="A70" s="293" t="str">
        <f t="shared" si="6"/>
        <v>PPG112558</v>
      </c>
      <c r="B70" s="279"/>
      <c r="C70" s="279"/>
      <c r="D70" s="279"/>
      <c r="E70" s="279"/>
      <c r="F70" s="280"/>
      <c r="G70" s="291"/>
      <c r="H70" s="292"/>
      <c r="I70" s="279" t="str">
        <f t="shared" si="7"/>
        <v>-</v>
      </c>
      <c r="J70" s="280"/>
      <c r="K70" s="291"/>
      <c r="L70" s="292"/>
      <c r="M70" s="279" t="str">
        <f t="shared" si="8"/>
        <v>-</v>
      </c>
      <c r="N70" s="280"/>
      <c r="O70" s="291"/>
      <c r="P70" s="292"/>
      <c r="Q70" s="279" t="str">
        <f t="shared" si="9"/>
        <v>-</v>
      </c>
      <c r="R70" s="280"/>
      <c r="S70" s="291"/>
      <c r="T70" s="292"/>
      <c r="U70" s="279" t="str">
        <f t="shared" si="10"/>
        <v>-</v>
      </c>
      <c r="V70" s="280"/>
      <c r="W70" s="291"/>
      <c r="X70" s="292"/>
      <c r="Y70" s="279" t="str">
        <f t="shared" si="11"/>
        <v>-</v>
      </c>
      <c r="Z70" s="280"/>
      <c r="AT70" s="158"/>
      <c r="AU70" s="158"/>
      <c r="AV70" s="158"/>
      <c r="AW70" s="158"/>
      <c r="AX70" s="158"/>
      <c r="AY70" s="158"/>
      <c r="AZ70" s="209"/>
      <c r="BA70" s="209"/>
      <c r="BB70" s="95"/>
      <c r="BC70" s="95"/>
      <c r="BD70" s="95"/>
      <c r="BE70" s="96"/>
      <c r="BF70" s="96"/>
      <c r="BG70" s="96"/>
      <c r="BH70" s="96"/>
      <c r="BI70" s="96"/>
      <c r="BJ70" s="96"/>
      <c r="BK70" s="96"/>
      <c r="BL70" s="96"/>
      <c r="BM70" s="96"/>
      <c r="BN70" s="96"/>
      <c r="BO70" s="96"/>
      <c r="BP70" s="96"/>
      <c r="BQ70" s="96"/>
      <c r="BR70" s="96"/>
      <c r="BS70" s="96"/>
    </row>
    <row r="71" spans="1:71" s="86" customFormat="1" ht="15.95" customHeight="1">
      <c r="A71" s="276" t="str">
        <f t="shared" si="6"/>
        <v>PPG112559</v>
      </c>
      <c r="B71" s="277"/>
      <c r="C71" s="277"/>
      <c r="D71" s="277"/>
      <c r="E71" s="277"/>
      <c r="F71" s="278"/>
      <c r="G71" s="288"/>
      <c r="H71" s="289"/>
      <c r="I71" s="279" t="str">
        <f t="shared" si="7"/>
        <v>-</v>
      </c>
      <c r="J71" s="280"/>
      <c r="K71" s="288"/>
      <c r="L71" s="289"/>
      <c r="M71" s="279" t="str">
        <f t="shared" si="8"/>
        <v>-</v>
      </c>
      <c r="N71" s="280"/>
      <c r="O71" s="288"/>
      <c r="P71" s="289"/>
      <c r="Q71" s="279" t="str">
        <f t="shared" si="9"/>
        <v>-</v>
      </c>
      <c r="R71" s="280"/>
      <c r="S71" s="288"/>
      <c r="T71" s="289"/>
      <c r="U71" s="279" t="str">
        <f t="shared" si="10"/>
        <v>-</v>
      </c>
      <c r="V71" s="280"/>
      <c r="W71" s="288"/>
      <c r="X71" s="289"/>
      <c r="Y71" s="279" t="str">
        <f t="shared" si="11"/>
        <v>-</v>
      </c>
      <c r="Z71" s="280"/>
      <c r="AT71" s="158"/>
      <c r="AU71" s="158"/>
      <c r="AV71" s="158"/>
      <c r="AW71" s="158"/>
      <c r="AX71" s="158"/>
      <c r="AY71" s="158"/>
      <c r="AZ71" s="209"/>
      <c r="BA71" s="209"/>
      <c r="BB71" s="95"/>
      <c r="BC71" s="95"/>
      <c r="BD71" s="95"/>
      <c r="BE71" s="96"/>
      <c r="BF71" s="96"/>
      <c r="BG71" s="96"/>
      <c r="BH71" s="96"/>
      <c r="BI71" s="96"/>
      <c r="BJ71" s="96"/>
      <c r="BK71" s="96"/>
      <c r="BL71" s="96"/>
      <c r="BM71" s="96"/>
      <c r="BN71" s="96"/>
      <c r="BO71" s="96"/>
      <c r="BP71" s="96"/>
      <c r="BQ71" s="96"/>
      <c r="BR71" s="96"/>
      <c r="BS71" s="96"/>
    </row>
    <row r="72" spans="1:71" s="86" customFormat="1" ht="15.95" customHeight="1">
      <c r="A72" s="276" t="str">
        <f t="shared" si="6"/>
        <v>PPG112560</v>
      </c>
      <c r="B72" s="277"/>
      <c r="C72" s="277"/>
      <c r="D72" s="277"/>
      <c r="E72" s="277"/>
      <c r="F72" s="278"/>
      <c r="G72" s="253"/>
      <c r="H72" s="254"/>
      <c r="I72" s="279" t="str">
        <f t="shared" si="7"/>
        <v>-</v>
      </c>
      <c r="J72" s="280"/>
      <c r="K72" s="253"/>
      <c r="L72" s="254"/>
      <c r="M72" s="279" t="str">
        <f t="shared" si="8"/>
        <v>-</v>
      </c>
      <c r="N72" s="280"/>
      <c r="O72" s="253"/>
      <c r="P72" s="254"/>
      <c r="Q72" s="279" t="str">
        <f t="shared" si="9"/>
        <v>-</v>
      </c>
      <c r="R72" s="280"/>
      <c r="S72" s="253"/>
      <c r="T72" s="254"/>
      <c r="U72" s="279" t="str">
        <f t="shared" si="10"/>
        <v>-</v>
      </c>
      <c r="V72" s="280"/>
      <c r="W72" s="253"/>
      <c r="X72" s="254"/>
      <c r="Y72" s="279" t="str">
        <f t="shared" si="11"/>
        <v>-</v>
      </c>
      <c r="Z72" s="280"/>
      <c r="AT72" s="158"/>
      <c r="AU72" s="158"/>
      <c r="AV72" s="158"/>
      <c r="AW72" s="158"/>
      <c r="AX72" s="158"/>
      <c r="AY72" s="158"/>
      <c r="AZ72" s="209"/>
      <c r="BA72" s="209"/>
      <c r="BB72" s="95"/>
      <c r="BC72" s="95"/>
      <c r="BD72" s="95"/>
      <c r="BE72" s="96"/>
      <c r="BF72" s="96"/>
      <c r="BG72" s="96"/>
      <c r="BH72" s="96"/>
      <c r="BI72" s="96"/>
      <c r="BJ72" s="96"/>
      <c r="BK72" s="96"/>
      <c r="BL72" s="96"/>
      <c r="BM72" s="96"/>
      <c r="BN72" s="96"/>
      <c r="BO72" s="96"/>
      <c r="BP72" s="96"/>
      <c r="BQ72" s="96"/>
      <c r="BR72" s="96"/>
      <c r="BS72" s="96"/>
    </row>
    <row r="73" spans="1:71" s="86" customFormat="1" ht="15.95" customHeight="1">
      <c r="A73" s="276" t="str">
        <f t="shared" ref="A73" si="12">IF(A54="","",A54)</f>
        <v>Total</v>
      </c>
      <c r="B73" s="277"/>
      <c r="C73" s="277"/>
      <c r="D73" s="277"/>
      <c r="E73" s="277"/>
      <c r="F73" s="278"/>
      <c r="G73" s="288">
        <f>SUM(G57:H71)</f>
        <v>31</v>
      </c>
      <c r="H73" s="289"/>
      <c r="I73" s="279" t="str">
        <f t="shared" si="7"/>
        <v>coils</v>
      </c>
      <c r="J73" s="280"/>
      <c r="K73" s="288">
        <f>SUM(K57:L71)</f>
        <v>0</v>
      </c>
      <c r="L73" s="289"/>
      <c r="M73" s="279" t="str">
        <f t="shared" si="8"/>
        <v>coil</v>
      </c>
      <c r="N73" s="280"/>
      <c r="O73" s="288">
        <f>SUM(O57:P71)</f>
        <v>0</v>
      </c>
      <c r="P73" s="289"/>
      <c r="Q73" s="279" t="str">
        <f t="shared" si="9"/>
        <v>coil</v>
      </c>
      <c r="R73" s="280"/>
      <c r="S73" s="288">
        <f>SUM(S57:T71)</f>
        <v>0</v>
      </c>
      <c r="T73" s="289"/>
      <c r="U73" s="279" t="str">
        <f t="shared" si="10"/>
        <v>coil</v>
      </c>
      <c r="V73" s="280"/>
      <c r="W73" s="288">
        <f>SUM(W57:X71)</f>
        <v>0</v>
      </c>
      <c r="X73" s="289"/>
      <c r="Y73" s="279" t="str">
        <f t="shared" si="11"/>
        <v>coil</v>
      </c>
      <c r="Z73" s="280"/>
      <c r="AT73" s="158"/>
      <c r="AU73" s="158"/>
      <c r="AV73" s="158"/>
      <c r="AW73" s="158"/>
      <c r="AX73" s="158"/>
      <c r="AY73" s="158"/>
      <c r="AZ73" s="209"/>
      <c r="BA73" s="209"/>
      <c r="BB73" s="95"/>
      <c r="BC73" s="95"/>
      <c r="BD73" s="95"/>
      <c r="BE73" s="96"/>
      <c r="BF73" s="96"/>
      <c r="BG73" s="96"/>
      <c r="BH73" s="96"/>
      <c r="BI73" s="96"/>
      <c r="BJ73" s="96"/>
      <c r="BK73" s="96"/>
      <c r="BL73" s="96"/>
      <c r="BM73" s="96"/>
      <c r="BN73" s="96"/>
      <c r="BO73" s="96"/>
      <c r="BP73" s="96"/>
      <c r="BQ73" s="96"/>
      <c r="BR73" s="96"/>
      <c r="BS73" s="96"/>
    </row>
    <row r="74" spans="1:71" s="86" customFormat="1" ht="15.95" customHeight="1">
      <c r="A74" s="158"/>
      <c r="B74" s="158"/>
      <c r="C74" s="158"/>
      <c r="D74" s="158"/>
      <c r="E74" s="158"/>
      <c r="F74" s="158"/>
      <c r="G74" s="158"/>
      <c r="H74" s="158"/>
      <c r="I74" s="147"/>
      <c r="J74" s="147"/>
      <c r="K74" s="147"/>
      <c r="L74" s="97"/>
      <c r="M74" s="147"/>
      <c r="N74" s="147"/>
      <c r="O74" s="147"/>
      <c r="P74" s="97"/>
      <c r="Q74" s="148"/>
      <c r="R74" s="148"/>
      <c r="S74" s="212"/>
      <c r="T74" s="212"/>
      <c r="AT74" s="158"/>
      <c r="AU74" s="158"/>
      <c r="AV74" s="158"/>
      <c r="AW74" s="158"/>
      <c r="AX74" s="158"/>
      <c r="AY74" s="158"/>
      <c r="AZ74" s="209"/>
      <c r="BA74" s="209"/>
      <c r="BB74" s="95"/>
      <c r="BC74" s="95"/>
      <c r="BD74" s="95"/>
      <c r="BE74" s="96"/>
      <c r="BF74" s="96"/>
      <c r="BG74" s="96"/>
      <c r="BH74" s="96"/>
      <c r="BI74" s="96"/>
      <c r="BJ74" s="96"/>
      <c r="BK74" s="96"/>
      <c r="BL74" s="96"/>
      <c r="BM74" s="96"/>
      <c r="BN74" s="96"/>
      <c r="BO74" s="96"/>
      <c r="BP74" s="96"/>
      <c r="BQ74" s="96"/>
      <c r="BR74" s="96"/>
      <c r="BS74" s="96"/>
    </row>
    <row r="75" spans="1:71" s="86" customFormat="1" ht="15.95" customHeight="1">
      <c r="A75" s="158"/>
      <c r="B75" s="158"/>
      <c r="C75" s="158"/>
      <c r="D75" s="158"/>
      <c r="E75" s="158"/>
      <c r="F75" s="158"/>
      <c r="G75" s="158"/>
      <c r="H75" s="158"/>
      <c r="I75" s="147"/>
      <c r="J75" s="147"/>
      <c r="K75" s="147"/>
      <c r="L75" s="97"/>
      <c r="M75" s="147"/>
      <c r="N75" s="147"/>
      <c r="O75" s="147"/>
      <c r="P75" s="97"/>
      <c r="Q75" s="148"/>
      <c r="R75" s="148"/>
      <c r="S75" s="212"/>
      <c r="T75" s="212"/>
      <c r="AT75" s="158"/>
      <c r="AU75" s="158"/>
      <c r="AV75" s="158"/>
      <c r="AW75" s="158"/>
      <c r="AX75" s="158"/>
      <c r="AY75" s="158"/>
      <c r="AZ75" s="209"/>
      <c r="BA75" s="209"/>
      <c r="BB75" s="95"/>
      <c r="BC75" s="95"/>
      <c r="BD75" s="95"/>
      <c r="BE75" s="96"/>
      <c r="BF75" s="96"/>
      <c r="BG75" s="96"/>
      <c r="BH75" s="96"/>
      <c r="BI75" s="96"/>
      <c r="BJ75" s="96"/>
      <c r="BK75" s="96"/>
      <c r="BL75" s="96"/>
      <c r="BM75" s="96"/>
      <c r="BN75" s="96"/>
      <c r="BO75" s="96"/>
      <c r="BP75" s="96"/>
      <c r="BQ75" s="96"/>
      <c r="BR75" s="96"/>
      <c r="BS75" s="96"/>
    </row>
    <row r="76" spans="1:71" s="86" customFormat="1" ht="15.95" customHeight="1">
      <c r="AT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row>
    <row r="77" spans="1:71" s="86" customFormat="1" ht="15.95" customHeight="1">
      <c r="A77" s="308" t="s">
        <v>24</v>
      </c>
      <c r="B77" s="308"/>
      <c r="C77" s="308"/>
      <c r="D77" s="337" t="s">
        <v>59</v>
      </c>
      <c r="E77" s="337"/>
      <c r="F77" s="337"/>
      <c r="G77" s="144">
        <v>2</v>
      </c>
      <c r="H77" s="136" t="s">
        <v>261</v>
      </c>
      <c r="I77" s="136"/>
      <c r="J77" s="136"/>
      <c r="K77" s="136"/>
      <c r="L77" s="136"/>
      <c r="M77" s="136"/>
      <c r="O77" s="335" t="s">
        <v>288</v>
      </c>
      <c r="P77" s="336"/>
      <c r="S77" s="100" t="s">
        <v>60</v>
      </c>
      <c r="T77" s="145">
        <v>1</v>
      </c>
      <c r="U77" s="86" t="s">
        <v>56</v>
      </c>
      <c r="W77" s="145">
        <v>1</v>
      </c>
      <c r="X77" s="86" t="s">
        <v>57</v>
      </c>
      <c r="AR77" s="86">
        <v>1</v>
      </c>
      <c r="AS77" s="86" t="s">
        <v>269</v>
      </c>
      <c r="AT77" s="83" t="str">
        <f>"Each "&amp;W35&amp;" with "</f>
        <v xml:space="preserve">Each coil with </v>
      </c>
      <c r="AW77" s="83"/>
      <c r="AX77" s="83"/>
      <c r="AY77" s="83"/>
      <c r="AZ77" s="83"/>
      <c r="BA77" s="83"/>
      <c r="BB77" s="83"/>
      <c r="BC77" s="83"/>
      <c r="BD77" s="83"/>
      <c r="BE77" s="83"/>
      <c r="BF77" s="83"/>
      <c r="BG77" s="83"/>
      <c r="BH77" s="83"/>
      <c r="BI77" s="83"/>
      <c r="BJ77" s="83"/>
      <c r="BK77" s="83"/>
      <c r="BL77" s="83"/>
      <c r="BM77" s="83"/>
      <c r="BN77" s="83"/>
      <c r="BO77" s="83"/>
      <c r="BP77" s="83"/>
      <c r="BQ77" s="83"/>
      <c r="BR77" s="83"/>
      <c r="BS77" s="83"/>
    </row>
    <row r="78" spans="1:71" s="86" customFormat="1" ht="15.95" customHeight="1">
      <c r="D78" s="101" t="s">
        <v>61</v>
      </c>
      <c r="G78" s="144">
        <v>3</v>
      </c>
      <c r="H78" s="86" t="s">
        <v>280</v>
      </c>
      <c r="I78" s="301" t="s">
        <v>589</v>
      </c>
      <c r="J78" s="302"/>
      <c r="K78" s="102" t="s">
        <v>290</v>
      </c>
      <c r="L78" s="102"/>
      <c r="M78" s="335" t="s">
        <v>588</v>
      </c>
      <c r="N78" s="336"/>
      <c r="Q78" s="337" t="s">
        <v>62</v>
      </c>
      <c r="R78" s="337"/>
      <c r="S78" s="337"/>
      <c r="T78" s="103" t="s">
        <v>55</v>
      </c>
      <c r="U78" s="104" t="s">
        <v>58</v>
      </c>
      <c r="W78" s="294" t="s">
        <v>66</v>
      </c>
      <c r="X78" s="296"/>
      <c r="Y78" s="86" t="s">
        <v>46</v>
      </c>
      <c r="AR78" s="86">
        <v>2</v>
      </c>
      <c r="AS78" s="86" t="s">
        <v>270</v>
      </c>
      <c r="AT78" s="83" t="str">
        <f>"Two "&amp;W35&amp;" with "</f>
        <v xml:space="preserve">Two coil with </v>
      </c>
      <c r="AW78" s="83"/>
      <c r="AX78" s="83"/>
      <c r="AY78" s="83"/>
      <c r="AZ78" s="83"/>
      <c r="BA78" s="83"/>
      <c r="BB78" s="83"/>
      <c r="BC78" s="83"/>
      <c r="BD78" s="83"/>
      <c r="BE78" s="83"/>
      <c r="BF78" s="83"/>
      <c r="BG78" s="83"/>
      <c r="BH78" s="83"/>
      <c r="BI78" s="83"/>
      <c r="BJ78" s="83"/>
      <c r="BK78" s="83"/>
      <c r="BL78" s="83"/>
      <c r="BM78" s="83"/>
      <c r="BN78" s="83"/>
      <c r="BO78" s="83"/>
      <c r="BP78" s="83"/>
      <c r="BQ78" s="83"/>
      <c r="BR78" s="83"/>
      <c r="BS78" s="83"/>
    </row>
    <row r="79" spans="1:71" s="86" customFormat="1" ht="15.75">
      <c r="A79" s="73"/>
      <c r="B79" s="73"/>
      <c r="C79" s="73"/>
      <c r="D79" s="73"/>
      <c r="E79" s="73"/>
      <c r="F79" s="73"/>
      <c r="G79" s="144"/>
      <c r="I79" s="301"/>
      <c r="J79" s="302"/>
      <c r="K79" s="102" t="s">
        <v>290</v>
      </c>
      <c r="L79" s="102"/>
      <c r="N79" s="73"/>
      <c r="O79" s="73"/>
      <c r="P79" s="73"/>
      <c r="Q79" s="73"/>
      <c r="R79" s="73"/>
      <c r="S79" s="73"/>
      <c r="T79" s="73"/>
      <c r="U79" s="73"/>
      <c r="V79" s="73"/>
      <c r="W79" s="73"/>
      <c r="X79" s="73"/>
      <c r="Y79" s="73"/>
      <c r="Z79" s="73"/>
      <c r="AR79" s="86">
        <v>3</v>
      </c>
      <c r="AS79" s="86" t="s">
        <v>271</v>
      </c>
      <c r="AT79" s="83" t="str">
        <f>"Three "&amp;W35&amp;" with "</f>
        <v xml:space="preserve">Three coil with </v>
      </c>
      <c r="AW79" s="83"/>
      <c r="AX79" s="83"/>
      <c r="AY79" s="83"/>
      <c r="AZ79" s="83"/>
      <c r="BA79" s="83"/>
      <c r="BB79" s="83"/>
      <c r="BC79" s="83"/>
      <c r="BD79" s="83"/>
      <c r="BE79" s="83"/>
      <c r="BF79" s="83"/>
      <c r="BG79" s="83"/>
      <c r="BH79" s="83"/>
      <c r="BI79" s="83"/>
      <c r="BJ79" s="83"/>
      <c r="BK79" s="83"/>
      <c r="BL79" s="83"/>
      <c r="BM79" s="83"/>
      <c r="BN79" s="83"/>
      <c r="BO79" s="83"/>
      <c r="BP79" s="83"/>
      <c r="BQ79" s="83"/>
      <c r="BR79" s="83"/>
      <c r="BS79" s="83"/>
    </row>
    <row r="80" spans="1:71" s="86" customFormat="1" ht="17.100000000000001" customHeight="1">
      <c r="A80" s="73"/>
      <c r="B80" s="73"/>
      <c r="C80" s="73"/>
      <c r="D80" s="73"/>
      <c r="E80" s="73"/>
      <c r="F80" s="73"/>
      <c r="G80" s="73"/>
      <c r="H80" s="73"/>
      <c r="I80" s="73"/>
      <c r="J80" s="73"/>
      <c r="K80" s="73"/>
      <c r="L80" s="73"/>
      <c r="M80" s="73"/>
      <c r="N80" s="73"/>
      <c r="O80" s="73"/>
      <c r="P80" s="73"/>
      <c r="AR80" s="105" t="s">
        <v>272</v>
      </c>
      <c r="AS80" s="86" t="s">
        <v>275</v>
      </c>
      <c r="AT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row>
    <row r="81" spans="1:71" s="86" customFormat="1" ht="15.75">
      <c r="A81" s="73"/>
      <c r="B81" s="73"/>
      <c r="C81" s="73"/>
      <c r="D81" s="73"/>
      <c r="E81" s="73"/>
      <c r="F81" s="73"/>
      <c r="G81" s="73"/>
      <c r="H81" s="73"/>
      <c r="I81" s="73"/>
      <c r="J81" s="73"/>
      <c r="K81" s="73"/>
      <c r="L81" s="73"/>
      <c r="M81" s="73"/>
      <c r="N81" s="73"/>
      <c r="O81" s="73"/>
      <c r="P81" s="73"/>
      <c r="Q81" s="73"/>
      <c r="R81" s="73"/>
      <c r="S81" s="73" t="s">
        <v>25</v>
      </c>
      <c r="T81" s="73"/>
      <c r="U81" s="73"/>
      <c r="V81" s="73"/>
      <c r="W81" s="73"/>
      <c r="X81" s="73"/>
      <c r="Y81" s="73"/>
      <c r="Z81" s="73"/>
      <c r="AR81" s="105" t="s">
        <v>273</v>
      </c>
      <c r="AS81" s="86" t="s">
        <v>276</v>
      </c>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row>
    <row r="82" spans="1:71" s="86" customFormat="1" ht="15.75">
      <c r="A82" s="73"/>
      <c r="B82" s="73"/>
      <c r="C82" s="73"/>
      <c r="D82" s="73"/>
      <c r="E82" s="73"/>
      <c r="F82" s="73"/>
      <c r="G82" s="73"/>
      <c r="H82" s="73"/>
      <c r="I82" s="73"/>
      <c r="J82" s="73"/>
      <c r="K82" s="73"/>
      <c r="L82" s="73"/>
      <c r="M82" s="73"/>
      <c r="N82" s="73"/>
      <c r="O82" s="73"/>
      <c r="P82" s="73"/>
      <c r="Q82" s="73"/>
      <c r="R82" s="73"/>
      <c r="S82" s="73"/>
      <c r="T82" s="73"/>
      <c r="U82" s="73"/>
      <c r="V82" s="73"/>
      <c r="W82" s="73"/>
      <c r="X82" s="73"/>
      <c r="Y82" s="73"/>
      <c r="Z82" s="73"/>
      <c r="AR82" s="105" t="s">
        <v>274</v>
      </c>
      <c r="AS82" s="86" t="s">
        <v>277</v>
      </c>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row>
    <row r="83" spans="1:71">
      <c r="AR83" s="73" t="str">
        <f>IF(I79="","",_xlfn.XLOOKUP(I78,AR80:AR82,AS80:AS82,"",0,1)&amp;" and " &amp;_xlfn.XLOOKUP(I79,AR80:AR82,AS80:AS82,"",0,1))</f>
        <v/>
      </c>
      <c r="AS83" s="73" t="str">
        <f>IF(I79="","",_xlfn.XLOOKUP(I78,AR80:AR82,AS80:AS82,"",0,1)&amp;" and " &amp;_xlfn.XLOOKUP(I79,AR80:AR82,AS80:AS82,"",0,1))</f>
        <v/>
      </c>
    </row>
    <row r="84" spans="1:71" ht="16.5">
      <c r="A84" t="s">
        <v>88</v>
      </c>
      <c r="C84" s="73" t="str">
        <f>"The cargo in coils in sound packing condition, identified with the correct marks as mentioned above, was stuffed by means of the single-boom-lifts from the storage yard into "&amp;裝船資訊!O4&amp;" containers in rows with "&amp;_xlfn.XLOOKUP(W77,AR77:AR79,AS77:AS79,"",0,1)&amp;" tier high."</f>
        <v>The cargo in coils in sound packing condition, identified with the correct marks as mentioned above, was stuffed by means of the single-boom-lifts from the storage yard into  containers in rows with one tier high.</v>
      </c>
    </row>
    <row r="85" spans="1:71" ht="17.100000000000001" customHeight="1">
      <c r="B85"/>
      <c r="C85" s="73" t="str">
        <f>IF(damage表格!A8="","During the entire course of stuffing, steel coils where accessible were visually inspected on the exterior, and found to be appeared in general good order.","During the entire course of stuffing, steel coils where accessible were visually inspected on the exterior, and found to be appeared in general good order, except below list.")</f>
        <v>During the entire course of stuffing, steel coils where accessible were visually inspected on the exterior, and found to be appeared in general good order, except below list.</v>
      </c>
    </row>
    <row r="86" spans="1:71" ht="16.5">
      <c r="A86"/>
      <c r="B86"/>
      <c r="C86" s="334" t="s">
        <v>268</v>
      </c>
      <c r="D86" s="334"/>
      <c r="E86" s="334"/>
      <c r="F86" s="334"/>
      <c r="G86" s="334"/>
      <c r="H86" s="334"/>
      <c r="I86" s="334"/>
      <c r="J86" s="334"/>
      <c r="K86" s="334"/>
      <c r="L86" s="334"/>
      <c r="M86" s="334"/>
      <c r="N86" s="334"/>
      <c r="O86" s="334"/>
      <c r="P86" s="334"/>
      <c r="Q86" s="334"/>
      <c r="R86" s="334"/>
      <c r="S86" s="334"/>
      <c r="T86" s="334"/>
      <c r="U86" s="334"/>
      <c r="V86" s="334"/>
      <c r="W86" s="334"/>
      <c r="X86" s="334"/>
      <c r="Y86" s="334"/>
      <c r="Z86" s="334"/>
    </row>
    <row r="87" spans="1:71">
      <c r="A87" s="73" t="s">
        <v>102</v>
      </c>
      <c r="C87" s="73" t="str">
        <f>IF(O77=A88,C88,_xlfn.XLOOKUP(M78,A89:A90,C89:C90,"",0,1))</f>
        <v>Each coil is stowed in rows on the floorboards of each container, and wedges with wooden pieces against the containers' panels prevent the coils from shifting during the voyage.</v>
      </c>
    </row>
    <row r="88" spans="1:71" ht="15.75">
      <c r="A88" s="332" t="s">
        <v>279</v>
      </c>
      <c r="B88" s="333"/>
      <c r="C88" s="73" t="s">
        <v>282</v>
      </c>
    </row>
    <row r="89" spans="1:71" ht="15.75">
      <c r="A89" s="332" t="s">
        <v>279</v>
      </c>
      <c r="B89" s="333"/>
      <c r="C89" s="73" t="str">
        <f>_xlfn.XLOOKUP(T77,AR77:AR79,AT77:AT79,"",0,1)&amp;G77&amp;" single lines of wooden dunnage under each "&amp;W35&amp;" on the wooden floorboards in each container were shored and chocked with wooden blocks and wedges against fore, left and right panels to prevent coils from tripping during the voyage. "</f>
        <v xml:space="preserve">Each coil with 2 single lines of wooden dunnage under each coil on the wooden floorboards in each container were shored and chocked with wooden blocks and wedges against fore, left and right panels to prevent coils from tripping during the voyage. </v>
      </c>
    </row>
    <row r="90" spans="1:71" ht="15.75">
      <c r="A90" s="332" t="s">
        <v>278</v>
      </c>
      <c r="B90" s="333"/>
      <c r="C90" s="73" t="str">
        <f>_xlfn.XLOOKUP(T77,AR77:AR79,AT77:AT79,"",0,1)&amp;G77&amp;" single lines of wood dunnage and a rectangular wooden board under each "&amp;W35&amp;" on the wooden floorboards in each container was shored/chocked with wooden blocks and wedges against fore, left and right panels, and each "&amp;W35&amp;" was crossly lashed with "&amp;G78&amp; _xlfn.XLOOKUP(I78,AR80:AR83,AS80:AS83,"",0,1) &amp;"sets through coil eye to the cleats for prevent coils from tripping during the voyage."</f>
        <v>Each coil with 2 single lines of wood dunnage and a rectangular wooden board under each coil on the wooden floorboards in each container was shored/chocked with wooden blocks and wedges against fore, left and right panels, and each coil was crossly lashed with 3steel wire ropessets through coil eye to the cleats for prevent coils from tripping during the voyage.</v>
      </c>
    </row>
  </sheetData>
  <mergeCells count="357">
    <mergeCell ref="A16:D16"/>
    <mergeCell ref="I23:M23"/>
    <mergeCell ref="I24:M24"/>
    <mergeCell ref="A18:D18"/>
    <mergeCell ref="A20:D20"/>
    <mergeCell ref="A89:B89"/>
    <mergeCell ref="A90:B90"/>
    <mergeCell ref="A88:B88"/>
    <mergeCell ref="C86:Z86"/>
    <mergeCell ref="A77:C77"/>
    <mergeCell ref="O77:P77"/>
    <mergeCell ref="I78:J78"/>
    <mergeCell ref="M78:N78"/>
    <mergeCell ref="Q78:S78"/>
    <mergeCell ref="W78:X78"/>
    <mergeCell ref="D77:F77"/>
    <mergeCell ref="J26:L26"/>
    <mergeCell ref="M26:N26"/>
    <mergeCell ref="O26:T26"/>
    <mergeCell ref="J30:L30"/>
    <mergeCell ref="M30:N30"/>
    <mergeCell ref="E10:H10"/>
    <mergeCell ref="E12:H12"/>
    <mergeCell ref="E11:H11"/>
    <mergeCell ref="W24:Z24"/>
    <mergeCell ref="E20:Z22"/>
    <mergeCell ref="J31:L31"/>
    <mergeCell ref="Q31:Y31"/>
    <mergeCell ref="J33:L33"/>
    <mergeCell ref="M31:O31"/>
    <mergeCell ref="J32:L32"/>
    <mergeCell ref="J27:L27"/>
    <mergeCell ref="M27:N27"/>
    <mergeCell ref="O27:T27"/>
    <mergeCell ref="J28:L28"/>
    <mergeCell ref="M28:N28"/>
    <mergeCell ref="O28:T28"/>
    <mergeCell ref="E24:F24"/>
    <mergeCell ref="Q23:R23"/>
    <mergeCell ref="T23:U23"/>
    <mergeCell ref="Q24:R24"/>
    <mergeCell ref="T24:U24"/>
    <mergeCell ref="S25:U25"/>
    <mergeCell ref="O30:T30"/>
    <mergeCell ref="M54:N54"/>
    <mergeCell ref="A54:I54"/>
    <mergeCell ref="I79:J79"/>
    <mergeCell ref="W35:Z35"/>
    <mergeCell ref="A5:Z5"/>
    <mergeCell ref="A7:D7"/>
    <mergeCell ref="E7:I7"/>
    <mergeCell ref="O7:R7"/>
    <mergeCell ref="S7:Z7"/>
    <mergeCell ref="A9:D9"/>
    <mergeCell ref="E9:L9"/>
    <mergeCell ref="J29:L29"/>
    <mergeCell ref="M29:N29"/>
    <mergeCell ref="O29:T29"/>
    <mergeCell ref="A8:D8"/>
    <mergeCell ref="E8:N8"/>
    <mergeCell ref="A10:D10"/>
    <mergeCell ref="A12:D12"/>
    <mergeCell ref="G13:N13"/>
    <mergeCell ref="G14:N14"/>
    <mergeCell ref="E16:Z16"/>
    <mergeCell ref="A23:D23"/>
    <mergeCell ref="E18:Z19"/>
    <mergeCell ref="W23:Z23"/>
    <mergeCell ref="S8:Z8"/>
    <mergeCell ref="E23:F23"/>
    <mergeCell ref="M51:N51"/>
    <mergeCell ref="M48:N48"/>
    <mergeCell ref="M49:N49"/>
    <mergeCell ref="M46:N46"/>
    <mergeCell ref="M47:N47"/>
    <mergeCell ref="M44:N44"/>
    <mergeCell ref="M45:N45"/>
    <mergeCell ref="M43:N43"/>
    <mergeCell ref="V9:Z9"/>
    <mergeCell ref="V10:Z10"/>
    <mergeCell ref="V11:Z11"/>
    <mergeCell ref="S12:U12"/>
    <mergeCell ref="V12:Z12"/>
    <mergeCell ref="S13:U13"/>
    <mergeCell ref="V13:Z13"/>
    <mergeCell ref="S15:Z15"/>
    <mergeCell ref="O56:Q56"/>
    <mergeCell ref="S56:U56"/>
    <mergeCell ref="W56:Y56"/>
    <mergeCell ref="A57:F57"/>
    <mergeCell ref="G57:H57"/>
    <mergeCell ref="I57:J57"/>
    <mergeCell ref="K57:L57"/>
    <mergeCell ref="M57:N57"/>
    <mergeCell ref="O57:P57"/>
    <mergeCell ref="Q57:R57"/>
    <mergeCell ref="S57:T57"/>
    <mergeCell ref="U57:V57"/>
    <mergeCell ref="W57:X57"/>
    <mergeCell ref="Y57:Z57"/>
    <mergeCell ref="W58:X58"/>
    <mergeCell ref="Y58:Z58"/>
    <mergeCell ref="A59:F59"/>
    <mergeCell ref="G59:H59"/>
    <mergeCell ref="I59:J59"/>
    <mergeCell ref="K59:L59"/>
    <mergeCell ref="M59:N59"/>
    <mergeCell ref="O59:P59"/>
    <mergeCell ref="Q59:R59"/>
    <mergeCell ref="S59:T59"/>
    <mergeCell ref="U59:V59"/>
    <mergeCell ref="W59:X59"/>
    <mergeCell ref="Y59:Z59"/>
    <mergeCell ref="A58:F58"/>
    <mergeCell ref="G58:H58"/>
    <mergeCell ref="I58:J58"/>
    <mergeCell ref="K58:L58"/>
    <mergeCell ref="M58:N58"/>
    <mergeCell ref="O58:P58"/>
    <mergeCell ref="Q58:R58"/>
    <mergeCell ref="S58:T58"/>
    <mergeCell ref="U58:V58"/>
    <mergeCell ref="W60:X60"/>
    <mergeCell ref="Y60:Z60"/>
    <mergeCell ref="A61:F61"/>
    <mergeCell ref="G61:H61"/>
    <mergeCell ref="I61:J61"/>
    <mergeCell ref="K61:L61"/>
    <mergeCell ref="M61:N61"/>
    <mergeCell ref="O61:P61"/>
    <mergeCell ref="Q61:R61"/>
    <mergeCell ref="S61:T61"/>
    <mergeCell ref="U61:V61"/>
    <mergeCell ref="W61:X61"/>
    <mergeCell ref="Y61:Z61"/>
    <mergeCell ref="A60:F60"/>
    <mergeCell ref="G60:H60"/>
    <mergeCell ref="I60:J60"/>
    <mergeCell ref="K60:L60"/>
    <mergeCell ref="M60:N60"/>
    <mergeCell ref="O60:P60"/>
    <mergeCell ref="Q60:R60"/>
    <mergeCell ref="S60:T60"/>
    <mergeCell ref="U60:V60"/>
    <mergeCell ref="W62:X62"/>
    <mergeCell ref="Y62:Z62"/>
    <mergeCell ref="A63:F63"/>
    <mergeCell ref="G63:H63"/>
    <mergeCell ref="I63:J63"/>
    <mergeCell ref="K63:L63"/>
    <mergeCell ref="M63:N63"/>
    <mergeCell ref="O63:P63"/>
    <mergeCell ref="Q63:R63"/>
    <mergeCell ref="S63:T63"/>
    <mergeCell ref="U63:V63"/>
    <mergeCell ref="W63:X63"/>
    <mergeCell ref="Y63:Z63"/>
    <mergeCell ref="A62:F62"/>
    <mergeCell ref="G62:H62"/>
    <mergeCell ref="I62:J62"/>
    <mergeCell ref="K62:L62"/>
    <mergeCell ref="M62:N62"/>
    <mergeCell ref="O62:P62"/>
    <mergeCell ref="Q62:R62"/>
    <mergeCell ref="S62:T62"/>
    <mergeCell ref="U62:V62"/>
    <mergeCell ref="W64:X64"/>
    <mergeCell ref="Y64:Z64"/>
    <mergeCell ref="A65:F65"/>
    <mergeCell ref="G65:H65"/>
    <mergeCell ref="I65:J65"/>
    <mergeCell ref="K65:L65"/>
    <mergeCell ref="M65:N65"/>
    <mergeCell ref="O65:P65"/>
    <mergeCell ref="Q65:R65"/>
    <mergeCell ref="S65:T65"/>
    <mergeCell ref="U65:V65"/>
    <mergeCell ref="W65:X65"/>
    <mergeCell ref="Y65:Z65"/>
    <mergeCell ref="A64:F64"/>
    <mergeCell ref="G64:H64"/>
    <mergeCell ref="I64:J64"/>
    <mergeCell ref="K64:L64"/>
    <mergeCell ref="M64:N64"/>
    <mergeCell ref="O64:P64"/>
    <mergeCell ref="Q64:R64"/>
    <mergeCell ref="S64:T64"/>
    <mergeCell ref="U64:V64"/>
    <mergeCell ref="W66:X66"/>
    <mergeCell ref="Y66:Z66"/>
    <mergeCell ref="A67:F67"/>
    <mergeCell ref="G67:H67"/>
    <mergeCell ref="I67:J67"/>
    <mergeCell ref="K67:L67"/>
    <mergeCell ref="M67:N67"/>
    <mergeCell ref="O67:P67"/>
    <mergeCell ref="Q67:R67"/>
    <mergeCell ref="S67:T67"/>
    <mergeCell ref="U67:V67"/>
    <mergeCell ref="W67:X67"/>
    <mergeCell ref="Y67:Z67"/>
    <mergeCell ref="A66:F66"/>
    <mergeCell ref="G66:H66"/>
    <mergeCell ref="I66:J66"/>
    <mergeCell ref="K66:L66"/>
    <mergeCell ref="M66:N66"/>
    <mergeCell ref="O66:P66"/>
    <mergeCell ref="Q66:R66"/>
    <mergeCell ref="S66:T66"/>
    <mergeCell ref="U66:V66"/>
    <mergeCell ref="S69:T69"/>
    <mergeCell ref="U69:V69"/>
    <mergeCell ref="W69:X69"/>
    <mergeCell ref="Y69:Z69"/>
    <mergeCell ref="A68:F68"/>
    <mergeCell ref="G68:H68"/>
    <mergeCell ref="I68:J68"/>
    <mergeCell ref="K68:L68"/>
    <mergeCell ref="M68:N68"/>
    <mergeCell ref="O68:P68"/>
    <mergeCell ref="Q68:R68"/>
    <mergeCell ref="S68:T68"/>
    <mergeCell ref="U68:V68"/>
    <mergeCell ref="O73:P73"/>
    <mergeCell ref="Q73:R73"/>
    <mergeCell ref="S73:T73"/>
    <mergeCell ref="U73:V73"/>
    <mergeCell ref="W70:X70"/>
    <mergeCell ref="Y70:Z70"/>
    <mergeCell ref="A71:F71"/>
    <mergeCell ref="G71:H71"/>
    <mergeCell ref="I71:J71"/>
    <mergeCell ref="K71:L71"/>
    <mergeCell ref="M71:N71"/>
    <mergeCell ref="O71:P71"/>
    <mergeCell ref="Q71:R71"/>
    <mergeCell ref="S71:T71"/>
    <mergeCell ref="U71:V71"/>
    <mergeCell ref="W71:X71"/>
    <mergeCell ref="Y71:Z71"/>
    <mergeCell ref="A70:F70"/>
    <mergeCell ref="G70:H70"/>
    <mergeCell ref="I70:J70"/>
    <mergeCell ref="K70:L70"/>
    <mergeCell ref="M70:N70"/>
    <mergeCell ref="O70:P70"/>
    <mergeCell ref="Q70:R70"/>
    <mergeCell ref="M38:N38"/>
    <mergeCell ref="M39:N39"/>
    <mergeCell ref="M40:N40"/>
    <mergeCell ref="M41:N41"/>
    <mergeCell ref="M42:N42"/>
    <mergeCell ref="A73:F73"/>
    <mergeCell ref="G73:H73"/>
    <mergeCell ref="I73:J73"/>
    <mergeCell ref="K73:L73"/>
    <mergeCell ref="M73:N73"/>
    <mergeCell ref="A69:F69"/>
    <mergeCell ref="G69:H69"/>
    <mergeCell ref="I69:J69"/>
    <mergeCell ref="K69:L69"/>
    <mergeCell ref="M69:N69"/>
    <mergeCell ref="A56:F56"/>
    <mergeCell ref="G56:I56"/>
    <mergeCell ref="K56:M56"/>
    <mergeCell ref="M52:N52"/>
    <mergeCell ref="M53:N53"/>
    <mergeCell ref="A53:C53"/>
    <mergeCell ref="D53:F53"/>
    <mergeCell ref="G53:I53"/>
    <mergeCell ref="M50:N50"/>
    <mergeCell ref="M37:O37"/>
    <mergeCell ref="J37:L37"/>
    <mergeCell ref="G37:I37"/>
    <mergeCell ref="W36:Z36"/>
    <mergeCell ref="R35:V35"/>
    <mergeCell ref="R36:V36"/>
    <mergeCell ref="P37:Q37"/>
    <mergeCell ref="R37:S37"/>
    <mergeCell ref="W73:X73"/>
    <mergeCell ref="Y73:Z73"/>
    <mergeCell ref="J38:K38"/>
    <mergeCell ref="J39:K39"/>
    <mergeCell ref="J40:K40"/>
    <mergeCell ref="J41:K41"/>
    <mergeCell ref="J42:K42"/>
    <mergeCell ref="J43:K43"/>
    <mergeCell ref="J44:K44"/>
    <mergeCell ref="J45:K45"/>
    <mergeCell ref="J46:K46"/>
    <mergeCell ref="J47:K47"/>
    <mergeCell ref="J48:K48"/>
    <mergeCell ref="J49:K49"/>
    <mergeCell ref="J50:K50"/>
    <mergeCell ref="J51:K51"/>
    <mergeCell ref="A38:C38"/>
    <mergeCell ref="D38:F38"/>
    <mergeCell ref="G38:I38"/>
    <mergeCell ref="A37:C37"/>
    <mergeCell ref="D37:F37"/>
    <mergeCell ref="A39:C39"/>
    <mergeCell ref="D39:F39"/>
    <mergeCell ref="G39:I39"/>
    <mergeCell ref="A40:C40"/>
    <mergeCell ref="D40:F40"/>
    <mergeCell ref="G40:I40"/>
    <mergeCell ref="A41:C41"/>
    <mergeCell ref="D41:F41"/>
    <mergeCell ref="G41:I41"/>
    <mergeCell ref="A42:C42"/>
    <mergeCell ref="D42:F42"/>
    <mergeCell ref="G42:I42"/>
    <mergeCell ref="A43:C43"/>
    <mergeCell ref="D43:F43"/>
    <mergeCell ref="G43:I43"/>
    <mergeCell ref="A44:C44"/>
    <mergeCell ref="D44:F44"/>
    <mergeCell ref="G44:I44"/>
    <mergeCell ref="A45:C45"/>
    <mergeCell ref="D45:F45"/>
    <mergeCell ref="G45:I45"/>
    <mergeCell ref="A46:C46"/>
    <mergeCell ref="D46:F46"/>
    <mergeCell ref="G46:I46"/>
    <mergeCell ref="A47:C47"/>
    <mergeCell ref="D47:F47"/>
    <mergeCell ref="G47:I47"/>
    <mergeCell ref="A48:C48"/>
    <mergeCell ref="D48:F48"/>
    <mergeCell ref="G48:I48"/>
    <mergeCell ref="A49:C49"/>
    <mergeCell ref="D49:F49"/>
    <mergeCell ref="G49:I49"/>
    <mergeCell ref="A72:F72"/>
    <mergeCell ref="I72:J72"/>
    <mergeCell ref="M72:N72"/>
    <mergeCell ref="Q72:R72"/>
    <mergeCell ref="U72:V72"/>
    <mergeCell ref="Y72:Z72"/>
    <mergeCell ref="A50:C50"/>
    <mergeCell ref="D50:F50"/>
    <mergeCell ref="G50:I50"/>
    <mergeCell ref="A51:C51"/>
    <mergeCell ref="D51:F51"/>
    <mergeCell ref="G51:I51"/>
    <mergeCell ref="A52:C52"/>
    <mergeCell ref="D52:F52"/>
    <mergeCell ref="G52:I52"/>
    <mergeCell ref="J52:K52"/>
    <mergeCell ref="J54:K54"/>
    <mergeCell ref="J53:K53"/>
    <mergeCell ref="S70:T70"/>
    <mergeCell ref="U70:V70"/>
    <mergeCell ref="W68:X68"/>
    <mergeCell ref="Y68:Z68"/>
    <mergeCell ref="O69:P69"/>
    <mergeCell ref="Q69:R69"/>
  </mergeCells>
  <phoneticPr fontId="2" type="noConversion"/>
  <dataValidations disablePrompts="1" count="12">
    <dataValidation type="list" allowBlank="1" showInputMessage="1" showErrorMessage="1" sqref="O77:P77 M78:N78" xr:uid="{512A28D2-7B8B-4BB3-B5E2-E5448345D980}">
      <formula1>"(是),(否)"</formula1>
    </dataValidation>
    <dataValidation type="list" allowBlank="1" showInputMessage="1" showErrorMessage="1" sqref="W78" xr:uid="{5DF5E427-8D05-49AC-A824-2685342073B8}">
      <formula1>"帆布,塑膠布"</formula1>
    </dataValidation>
    <dataValidation type="list" allowBlank="1" showInputMessage="1" showErrorMessage="1" sqref="T78" xr:uid="{E4220D16-A6DE-4E9A-9A6D-C625A0AED177}">
      <formula1>"是,否"</formula1>
    </dataValidation>
    <dataValidation type="list" allowBlank="1" showInputMessage="1" showErrorMessage="1" sqref="A23:D23" xr:uid="{41E91D31-5A2E-413B-A313-AE3F5557D2A0}">
      <formula1>"平放,直立,平放&amp;直立"</formula1>
    </dataValidation>
    <dataValidation type="list" allowBlank="1" showInputMessage="1" showErrorMessage="1" sqref="I23:I24" xr:uid="{17E62FAA-2D85-47F0-A764-EC5220AAB552}">
      <formula1>"metal, moisture-resistance, metal / moisture-resistance"</formula1>
    </dataValidation>
    <dataValidation type="list" allowBlank="1" showInputMessage="1" showErrorMessage="1" sqref="I79:J79" xr:uid="{CF5558D1-95A2-4637-B989-C77A2C27363E}">
      <formula1>"鋼索,鐵帶,尼龍"</formula1>
    </dataValidation>
    <dataValidation type="list" allowBlank="1" showInputMessage="1" showErrorMessage="1" sqref="J31:O31" xr:uid="{AC98EB4C-7A88-4579-9E20-607D93E5A7C8}">
      <formula1>$AB$30:$AB$35</formula1>
    </dataValidation>
    <dataValidation type="list" allowBlank="1" showInputMessage="1" showErrorMessage="1" sqref="W23:Z24" xr:uid="{CABB40B5-8B88-4ACE-8D4F-161057DD0AC5}">
      <formula1>""" "",wooden pallet, wooden skid, wooden pallet / skid"</formula1>
    </dataValidation>
    <dataValidation type="list" allowBlank="1" showInputMessage="1" showErrorMessage="1" sqref="I78:J78" xr:uid="{44FD119C-BDFD-44C2-9117-69535F5E8A51}">
      <formula1>$AR$80:$AR$83</formula1>
    </dataValidation>
    <dataValidation type="list" allowBlank="1" showInputMessage="1" showErrorMessage="1" sqref="S13:U13" xr:uid="{53F80FEB-441D-48BA-BDF5-976A6DBC8004}">
      <formula1>"godown,open yard"</formula1>
    </dataValidation>
    <dataValidation type="list" allowBlank="1" showInputMessage="1" showErrorMessage="1" sqref="R14" xr:uid="{89F1A2F3-426E-4B00-9524-6E2FCB82EFD6}">
      <formula1>"  ,V"</formula1>
    </dataValidation>
    <dataValidation type="list" allowBlank="1" showInputMessage="1" showErrorMessage="1" sqref="R15" xr:uid="{D143EA15-D84C-42B4-BF79-9E1B34D2DB54}">
      <formula1>" ,V,X"</formula1>
    </dataValidation>
  </dataValidations>
  <printOptions horizontalCentered="1" verticalCentered="1"/>
  <pageMargins left="0.19685039370078741" right="0.19685039370078741" top="0.39370078740157483" bottom="0.39370078740157483" header="0.31496062992125984" footer="0.31496062992125984"/>
  <pageSetup paperSize="9" scale="70" orientation="portrait" r:id="rId1"/>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112C296F-1CEE-4CA1-81A0-E3C1C113F351}">
          <x14:formula1>
            <xm:f>客戶名稱!$F:$F</xm:f>
          </x14:formula1>
          <xm:sqref>I12:R12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049966-5B18-4113-8123-469D8CEE1284}">
  <sheetPr codeName="工作表7">
    <tabColor rgb="FFFF0000"/>
  </sheetPr>
  <dimension ref="A1:BZ86"/>
  <sheetViews>
    <sheetView view="pageBreakPreview" topLeftCell="A19" zoomScaleNormal="100" zoomScaleSheetLayoutView="100" workbookViewId="0">
      <selection activeCell="E33" sqref="E33:X33"/>
    </sheetView>
  </sheetViews>
  <sheetFormatPr defaultColWidth="8.75" defaultRowHeight="16.5"/>
  <cols>
    <col min="1" max="4" width="3.375" style="169" customWidth="1"/>
    <col min="5" max="19" width="3.625" style="169" customWidth="1"/>
    <col min="20" max="20" width="3.625" style="73" customWidth="1"/>
    <col min="21" max="24" width="3.625" style="165" customWidth="1"/>
    <col min="25" max="25" width="0.875" customWidth="1"/>
    <col min="26" max="26" width="3.625" style="165" customWidth="1"/>
    <col min="27" max="27" width="7.75" style="165" customWidth="1"/>
    <col min="28" max="28" width="13.125" style="165" customWidth="1"/>
    <col min="29" max="29" width="5.125" style="165" customWidth="1"/>
    <col min="30" max="33" width="3.625" style="165" customWidth="1"/>
    <col min="34" max="34" width="3.625" style="166" customWidth="1"/>
    <col min="35" max="35" width="2.75" style="166" bestFit="1" customWidth="1"/>
    <col min="36" max="36" width="3.625" style="165" customWidth="1"/>
    <col min="37" max="47" width="3.625" style="73" customWidth="1"/>
    <col min="48" max="54" width="3.625" style="77" customWidth="1"/>
    <col min="55" max="73" width="5.625" style="77" customWidth="1"/>
    <col min="74" max="77" width="5.625" style="73" customWidth="1"/>
    <col min="78" max="83" width="2.5" style="73" customWidth="1"/>
    <col min="84" max="16384" width="8.75" style="73"/>
  </cols>
  <sheetData>
    <row r="1" spans="1:78" ht="15.95" customHeight="1"/>
    <row r="2" spans="1:78" ht="15.95" customHeight="1">
      <c r="J2" s="170"/>
      <c r="K2" s="170"/>
      <c r="L2" s="170"/>
      <c r="M2" s="170"/>
      <c r="N2" s="170"/>
      <c r="O2" s="170"/>
      <c r="P2" s="170"/>
      <c r="Q2" s="170"/>
      <c r="R2" s="170"/>
      <c r="S2" s="170"/>
    </row>
    <row r="3" spans="1:78" ht="15.95" customHeight="1">
      <c r="J3" s="171"/>
      <c r="K3" s="171"/>
      <c r="L3" s="171"/>
      <c r="M3" s="347"/>
      <c r="N3" s="348"/>
      <c r="O3" s="170"/>
      <c r="P3" s="170"/>
      <c r="Q3" s="170"/>
      <c r="R3" s="170"/>
      <c r="S3" s="171"/>
    </row>
    <row r="4" spans="1:78" ht="15.95" customHeight="1">
      <c r="J4" s="171"/>
      <c r="K4" s="171"/>
      <c r="L4" s="171"/>
      <c r="M4" s="347"/>
      <c r="N4" s="348"/>
      <c r="O4" s="170"/>
      <c r="P4" s="170"/>
      <c r="Q4" s="170"/>
      <c r="R4" s="170"/>
      <c r="S4" s="171"/>
      <c r="AV4" s="79"/>
      <c r="AW4" s="79"/>
      <c r="AX4" s="79"/>
      <c r="AY4" s="79"/>
      <c r="AZ4" s="79"/>
      <c r="BA4" s="79"/>
      <c r="BB4" s="79"/>
      <c r="BC4" s="79"/>
      <c r="BD4" s="79"/>
      <c r="BE4" s="79"/>
      <c r="BF4" s="79"/>
      <c r="BG4" s="79"/>
      <c r="BH4" s="79"/>
      <c r="BI4" s="79"/>
      <c r="BJ4" s="79"/>
      <c r="BK4" s="79"/>
      <c r="BL4" s="79"/>
      <c r="BM4" s="79"/>
      <c r="BN4" s="79"/>
      <c r="BO4" s="79"/>
      <c r="BP4" s="79"/>
      <c r="BQ4" s="79"/>
      <c r="BR4" s="76"/>
      <c r="BS4" s="76"/>
      <c r="BT4" s="76"/>
      <c r="BU4" s="76"/>
    </row>
    <row r="5" spans="1:78" s="83" customFormat="1" ht="15.95" customHeight="1">
      <c r="A5" s="173"/>
      <c r="B5" s="173"/>
      <c r="C5" s="173"/>
      <c r="D5" s="173"/>
      <c r="E5" s="173"/>
      <c r="F5" s="174"/>
      <c r="G5" s="174"/>
      <c r="H5" s="174"/>
      <c r="I5" s="174"/>
      <c r="J5" s="174"/>
      <c r="K5" s="174"/>
      <c r="L5" s="173"/>
      <c r="M5" s="175"/>
      <c r="N5" s="175"/>
      <c r="O5" s="175"/>
      <c r="P5" s="175"/>
      <c r="Q5" s="175"/>
      <c r="R5" s="173"/>
      <c r="S5" s="173"/>
      <c r="T5" s="97"/>
      <c r="U5" s="168"/>
      <c r="V5" s="168"/>
      <c r="W5" s="168"/>
      <c r="X5" s="259"/>
      <c r="Z5" s="164"/>
      <c r="AA5" s="164"/>
      <c r="AB5" s="164"/>
      <c r="AC5" s="164"/>
      <c r="AD5" s="164"/>
      <c r="AE5" s="164"/>
      <c r="AF5" s="164"/>
      <c r="AG5" s="164"/>
      <c r="AH5" s="164"/>
      <c r="AI5" s="168"/>
      <c r="AJ5" s="168"/>
      <c r="BA5" s="158"/>
      <c r="BB5" s="158"/>
      <c r="BC5" s="158"/>
      <c r="BD5" s="158"/>
      <c r="BE5" s="158"/>
      <c r="BF5" s="158"/>
      <c r="BG5" s="209"/>
      <c r="BH5" s="209"/>
      <c r="BI5" s="95"/>
      <c r="BJ5" s="95"/>
      <c r="BK5" s="95"/>
      <c r="BL5" s="96"/>
      <c r="BM5" s="96"/>
      <c r="BN5" s="96"/>
      <c r="BO5" s="96"/>
      <c r="BP5" s="96"/>
      <c r="BQ5" s="96"/>
      <c r="BR5" s="96"/>
      <c r="BS5" s="96"/>
      <c r="BT5" s="96"/>
      <c r="BU5" s="96"/>
      <c r="BV5" s="96"/>
      <c r="BW5" s="96"/>
      <c r="BX5" s="96"/>
      <c r="BY5" s="96"/>
      <c r="BZ5" s="96"/>
    </row>
    <row r="6" spans="1:78" s="83" customFormat="1" ht="15.95" customHeight="1">
      <c r="A6" s="346" t="s">
        <v>710</v>
      </c>
      <c r="B6" s="346"/>
      <c r="C6" s="346"/>
      <c r="D6" s="346"/>
      <c r="E6" s="344" t="s">
        <v>711</v>
      </c>
      <c r="F6" s="344"/>
      <c r="G6" s="344"/>
      <c r="H6" s="344"/>
      <c r="I6" s="344"/>
      <c r="J6" s="344"/>
      <c r="K6" s="344"/>
      <c r="L6" s="344"/>
      <c r="M6" s="344"/>
      <c r="N6" s="344"/>
      <c r="O6" s="344"/>
      <c r="P6" s="345" t="s">
        <v>712</v>
      </c>
      <c r="Q6" s="345"/>
      <c r="R6" s="345"/>
      <c r="S6" s="345"/>
      <c r="T6" s="345"/>
      <c r="U6" s="345"/>
      <c r="V6" s="345"/>
      <c r="W6" s="345"/>
      <c r="X6" s="345"/>
      <c r="Y6" s="264"/>
      <c r="Z6" s="164"/>
      <c r="AA6" s="164"/>
      <c r="AB6" s="164" t="s">
        <v>746</v>
      </c>
      <c r="AC6" s="164">
        <f>裝船表格!E9</f>
        <v>35</v>
      </c>
      <c r="AD6" s="164"/>
      <c r="AE6" s="164"/>
      <c r="AF6" s="164"/>
      <c r="AG6" s="164"/>
      <c r="AH6" s="164"/>
      <c r="AI6" s="168"/>
      <c r="AJ6" s="168"/>
      <c r="BA6" s="158"/>
      <c r="BB6" s="158"/>
      <c r="BC6" s="158"/>
      <c r="BD6" s="158"/>
      <c r="BE6" s="158"/>
      <c r="BF6" s="158"/>
      <c r="BG6" s="209"/>
      <c r="BH6" s="209"/>
      <c r="BI6" s="95"/>
      <c r="BJ6" s="95"/>
      <c r="BK6" s="95"/>
      <c r="BL6" s="96"/>
      <c r="BM6" s="96"/>
      <c r="BN6" s="96"/>
      <c r="BO6" s="96"/>
      <c r="BP6" s="96"/>
      <c r="BQ6" s="96"/>
      <c r="BR6" s="96"/>
      <c r="BS6" s="96"/>
      <c r="BT6" s="96"/>
      <c r="BU6" s="96"/>
      <c r="BV6" s="96"/>
      <c r="BW6" s="96"/>
      <c r="BX6" s="96"/>
      <c r="BY6" s="96"/>
      <c r="BZ6" s="96"/>
    </row>
    <row r="7" spans="1:78" s="83" customFormat="1" ht="15.95" customHeight="1">
      <c r="A7" s="342" t="s">
        <v>713</v>
      </c>
      <c r="B7" s="342"/>
      <c r="C7" s="342"/>
      <c r="D7" s="342"/>
      <c r="E7" s="344" t="s">
        <v>714</v>
      </c>
      <c r="F7" s="344"/>
      <c r="G7" s="344"/>
      <c r="H7" s="344"/>
      <c r="I7" s="344"/>
      <c r="J7" s="344"/>
      <c r="K7" s="344"/>
      <c r="L7" s="344"/>
      <c r="M7" s="344"/>
      <c r="N7" s="344"/>
      <c r="O7" s="344"/>
      <c r="P7" s="345" t="s">
        <v>715</v>
      </c>
      <c r="Q7" s="345"/>
      <c r="R7" s="345"/>
      <c r="S7" s="345"/>
      <c r="T7" s="345"/>
      <c r="U7" s="345"/>
      <c r="V7" s="345"/>
      <c r="W7" s="345"/>
      <c r="X7" s="345"/>
      <c r="Y7" s="264"/>
      <c r="Z7" s="164"/>
      <c r="AA7" s="164"/>
      <c r="AB7" s="164"/>
      <c r="AC7" s="164"/>
      <c r="AD7" s="164"/>
      <c r="AE7" s="164"/>
      <c r="AF7" s="164"/>
      <c r="AG7" s="164"/>
      <c r="AH7" s="164"/>
      <c r="AI7" s="168"/>
      <c r="AJ7" s="168"/>
      <c r="BA7" s="158"/>
      <c r="BB7" s="158"/>
      <c r="BC7" s="158"/>
      <c r="BD7" s="158"/>
      <c r="BE7" s="158"/>
      <c r="BF7" s="158"/>
      <c r="BG7" s="209"/>
      <c r="BH7" s="209"/>
      <c r="BI7" s="95"/>
      <c r="BJ7" s="95"/>
      <c r="BK7" s="95"/>
      <c r="BL7" s="96"/>
      <c r="BM7" s="96"/>
      <c r="BN7" s="96"/>
      <c r="BO7" s="96"/>
      <c r="BP7" s="96"/>
      <c r="BQ7" s="96"/>
      <c r="BR7" s="96"/>
      <c r="BS7" s="96"/>
      <c r="BT7" s="96"/>
      <c r="BU7" s="96"/>
      <c r="BV7" s="96"/>
      <c r="BW7" s="96"/>
      <c r="BX7" s="96"/>
      <c r="BY7" s="96"/>
      <c r="BZ7" s="96"/>
    </row>
    <row r="8" spans="1:78" s="83" customFormat="1" ht="15.95" customHeight="1">
      <c r="A8" s="264"/>
      <c r="D8" s="173"/>
      <c r="E8" s="344" t="s">
        <v>716</v>
      </c>
      <c r="F8" s="344"/>
      <c r="G8" s="344"/>
      <c r="H8" s="344"/>
      <c r="I8" s="344"/>
      <c r="J8" s="344"/>
      <c r="K8" s="344"/>
      <c r="L8" s="344"/>
      <c r="M8" s="344"/>
      <c r="N8" s="344"/>
      <c r="O8" s="344"/>
      <c r="P8" s="345" t="s">
        <v>717</v>
      </c>
      <c r="Q8" s="345"/>
      <c r="R8" s="345"/>
      <c r="S8" s="345"/>
      <c r="T8" s="345"/>
      <c r="U8" s="345"/>
      <c r="V8" s="345"/>
      <c r="W8" s="345"/>
      <c r="X8" s="345"/>
      <c r="Y8" s="264"/>
      <c r="Z8" s="164"/>
      <c r="AA8" s="164"/>
      <c r="AB8" s="164"/>
      <c r="AC8" s="164"/>
      <c r="AD8" s="164"/>
      <c r="AE8" s="164"/>
      <c r="AF8" s="164"/>
      <c r="AG8" s="164"/>
      <c r="AH8" s="164"/>
      <c r="AI8" s="168"/>
      <c r="AJ8" s="168"/>
      <c r="BA8" s="158"/>
      <c r="BB8" s="158"/>
      <c r="BC8" s="158"/>
      <c r="BD8" s="158"/>
      <c r="BE8" s="158"/>
      <c r="BF8" s="158"/>
      <c r="BG8" s="209"/>
      <c r="BH8" s="209"/>
      <c r="BI8" s="95"/>
      <c r="BJ8" s="95"/>
      <c r="BK8" s="95"/>
      <c r="BL8" s="96"/>
      <c r="BM8" s="96"/>
      <c r="BN8" s="96"/>
      <c r="BO8" s="96"/>
      <c r="BP8" s="96"/>
      <c r="BQ8" s="96"/>
      <c r="BR8" s="96"/>
      <c r="BS8" s="96"/>
      <c r="BT8" s="96"/>
      <c r="BU8" s="96"/>
      <c r="BV8" s="96"/>
      <c r="BW8" s="96"/>
      <c r="BX8" s="96"/>
      <c r="BY8" s="96"/>
      <c r="BZ8" s="96"/>
    </row>
    <row r="9" spans="1:78" s="83" customFormat="1" ht="15.95" customHeight="1">
      <c r="A9" s="264"/>
      <c r="D9" s="173"/>
      <c r="E9" s="344" t="s">
        <v>718</v>
      </c>
      <c r="F9" s="344"/>
      <c r="G9" s="344"/>
      <c r="H9" s="344"/>
      <c r="I9" s="344"/>
      <c r="J9" s="344"/>
      <c r="K9" s="344"/>
      <c r="L9" s="344"/>
      <c r="M9" s="344"/>
      <c r="N9" s="344"/>
      <c r="O9" s="344"/>
      <c r="P9" s="345" t="s">
        <v>719</v>
      </c>
      <c r="Q9" s="345"/>
      <c r="R9" s="345"/>
      <c r="S9" s="345"/>
      <c r="T9" s="345"/>
      <c r="U9" s="345"/>
      <c r="V9" s="345"/>
      <c r="W9" s="345"/>
      <c r="X9" s="345"/>
      <c r="Y9" s="264"/>
      <c r="Z9" s="164"/>
      <c r="AA9" s="164"/>
      <c r="AB9" s="164"/>
      <c r="AC9" s="164"/>
      <c r="AD9" s="164"/>
      <c r="AE9" s="164"/>
      <c r="AF9" s="164"/>
      <c r="AG9" s="164"/>
      <c r="AH9" s="164"/>
      <c r="AI9" s="168"/>
      <c r="AJ9" s="168"/>
      <c r="BA9" s="158"/>
      <c r="BB9" s="158"/>
      <c r="BC9" s="158"/>
      <c r="BD9" s="158"/>
      <c r="BE9" s="158"/>
      <c r="BF9" s="158"/>
      <c r="BG9" s="209"/>
      <c r="BH9" s="209"/>
      <c r="BI9" s="95"/>
      <c r="BJ9" s="95"/>
      <c r="BK9" s="95"/>
      <c r="BL9" s="96"/>
      <c r="BM9" s="96"/>
      <c r="BN9" s="96"/>
      <c r="BO9" s="96"/>
      <c r="BP9" s="96"/>
      <c r="BQ9" s="96"/>
      <c r="BR9" s="96"/>
      <c r="BS9" s="96"/>
      <c r="BT9" s="96"/>
      <c r="BU9" s="96"/>
      <c r="BV9" s="96"/>
      <c r="BW9" s="96"/>
      <c r="BX9" s="96"/>
      <c r="BY9" s="96"/>
      <c r="BZ9" s="96"/>
    </row>
    <row r="10" spans="1:78" s="83" customFormat="1" ht="15.95" customHeight="1">
      <c r="A10" s="342"/>
      <c r="B10" s="342"/>
      <c r="C10" s="342"/>
      <c r="D10" s="342"/>
      <c r="E10" s="173"/>
      <c r="F10" s="174"/>
      <c r="G10" s="174"/>
      <c r="H10" s="174"/>
      <c r="I10" s="174"/>
      <c r="J10" s="174"/>
      <c r="K10" s="174"/>
      <c r="L10" s="173"/>
      <c r="M10" s="175"/>
      <c r="N10" s="175"/>
      <c r="O10" s="175"/>
      <c r="P10" s="175"/>
      <c r="Q10" s="175"/>
      <c r="R10" s="173"/>
      <c r="S10" s="173"/>
      <c r="T10" s="97"/>
      <c r="U10" s="168"/>
      <c r="V10" s="168"/>
      <c r="W10" s="168"/>
      <c r="X10" s="259"/>
      <c r="Z10" s="164"/>
      <c r="AA10" s="164"/>
      <c r="AD10" s="164"/>
      <c r="AE10" s="164"/>
      <c r="AF10" s="164"/>
      <c r="AG10" s="164"/>
      <c r="AH10" s="164"/>
      <c r="AI10" s="168"/>
      <c r="AJ10" s="168"/>
      <c r="BA10" s="158"/>
      <c r="BB10" s="158"/>
      <c r="BC10" s="158"/>
      <c r="BD10" s="158"/>
      <c r="BE10" s="158"/>
      <c r="BF10" s="158"/>
      <c r="BG10" s="209"/>
      <c r="BH10" s="209"/>
      <c r="BI10" s="95"/>
      <c r="BJ10" s="95"/>
      <c r="BK10" s="95"/>
      <c r="BL10" s="96"/>
      <c r="BM10" s="96"/>
      <c r="BN10" s="96"/>
      <c r="BO10" s="96"/>
      <c r="BP10" s="96"/>
      <c r="BQ10" s="96"/>
      <c r="BR10" s="96"/>
      <c r="BS10" s="96"/>
      <c r="BT10" s="96"/>
      <c r="BU10" s="96"/>
      <c r="BV10" s="96"/>
      <c r="BW10" s="96"/>
      <c r="BX10" s="96"/>
      <c r="BY10" s="96"/>
      <c r="BZ10" s="96"/>
    </row>
    <row r="11" spans="1:78" s="83" customFormat="1" ht="47.45" customHeight="1">
      <c r="A11" s="341" t="s">
        <v>720</v>
      </c>
      <c r="B11" s="341"/>
      <c r="C11" s="341"/>
      <c r="D11" s="341"/>
      <c r="E11" s="343" t="s">
        <v>721</v>
      </c>
      <c r="F11" s="343"/>
      <c r="G11" s="343"/>
      <c r="H11" s="343"/>
      <c r="I11" s="343"/>
      <c r="J11" s="343"/>
      <c r="K11" s="343"/>
      <c r="L11" s="343"/>
      <c r="M11" s="343"/>
      <c r="N11" s="343"/>
      <c r="O11" s="343"/>
      <c r="P11" s="343"/>
      <c r="Q11" s="343"/>
      <c r="R11" s="343"/>
      <c r="S11" s="343"/>
      <c r="T11" s="343"/>
      <c r="U11" s="343"/>
      <c r="V11" s="343"/>
      <c r="W11" s="343"/>
      <c r="X11" s="343"/>
      <c r="Z11" s="164"/>
      <c r="AA11" s="164"/>
      <c r="AB11" s="164" t="s">
        <v>90</v>
      </c>
      <c r="AC11" s="164" t="s">
        <v>724</v>
      </c>
      <c r="AD11" s="164"/>
      <c r="AE11" s="164"/>
      <c r="AF11" s="164"/>
      <c r="AG11" s="164"/>
      <c r="AH11" s="164"/>
      <c r="AI11" s="168"/>
      <c r="AJ11" s="168"/>
      <c r="BA11" s="158"/>
      <c r="BB11" s="158"/>
      <c r="BC11" s="158"/>
      <c r="BD11" s="158"/>
      <c r="BE11" s="158"/>
      <c r="BF11" s="158"/>
      <c r="BG11" s="209"/>
      <c r="BH11" s="209"/>
      <c r="BI11" s="95"/>
      <c r="BJ11" s="95"/>
      <c r="BK11" s="95"/>
      <c r="BL11" s="96"/>
      <c r="BM11" s="96"/>
      <c r="BN11" s="96"/>
      <c r="BO11" s="96"/>
      <c r="BP11" s="96"/>
      <c r="BQ11" s="96"/>
      <c r="BR11" s="96"/>
      <c r="BS11" s="96"/>
      <c r="BT11" s="96"/>
      <c r="BU11" s="96"/>
      <c r="BV11" s="96"/>
      <c r="BW11" s="96"/>
      <c r="BX11" s="96"/>
      <c r="BY11" s="96"/>
      <c r="BZ11" s="96"/>
    </row>
    <row r="12" spans="1:78" s="83" customFormat="1" ht="15.95" customHeight="1">
      <c r="A12" s="173"/>
      <c r="B12" s="173"/>
      <c r="C12" s="173"/>
      <c r="D12" s="173"/>
      <c r="E12" s="173"/>
      <c r="F12" s="174"/>
      <c r="G12" s="174"/>
      <c r="H12" s="174"/>
      <c r="I12" s="174"/>
      <c r="J12" s="174"/>
      <c r="K12" s="174"/>
      <c r="L12" s="173"/>
      <c r="M12" s="175"/>
      <c r="N12" s="175"/>
      <c r="O12" s="175"/>
      <c r="P12" s="175"/>
      <c r="Q12" s="175"/>
      <c r="R12" s="173"/>
      <c r="S12" s="173"/>
      <c r="T12" s="97"/>
      <c r="U12" s="168"/>
      <c r="V12" s="168"/>
      <c r="W12" s="168"/>
      <c r="X12" s="259"/>
      <c r="Z12" s="164"/>
      <c r="AA12" s="164"/>
      <c r="AB12" s="164" t="s">
        <v>723</v>
      </c>
      <c r="AC12" s="164">
        <f>裝船表格!J56</f>
        <v>1</v>
      </c>
      <c r="AD12" s="164">
        <f>裝船表格!N56</f>
        <v>2</v>
      </c>
      <c r="AE12" s="164">
        <f>裝船表格!R56</f>
        <v>3</v>
      </c>
      <c r="AF12" s="164">
        <f>裝船表格!V56</f>
        <v>4</v>
      </c>
      <c r="AG12" s="164">
        <f>裝船表格!Z56</f>
        <v>5</v>
      </c>
      <c r="AH12" s="164"/>
      <c r="AI12" s="164"/>
      <c r="AJ12" s="164" t="str">
        <f>_xlfn.TEXTJOIN(", ", TRUE, AC12:AG12)</f>
        <v>1, 2, 3, 4, 5</v>
      </c>
      <c r="AL12" s="164"/>
      <c r="AM12" s="164"/>
      <c r="AN12" s="164"/>
      <c r="AP12" s="164"/>
      <c r="AQ12" s="164"/>
      <c r="AR12" s="164"/>
      <c r="BA12" s="158"/>
      <c r="BB12" s="158"/>
      <c r="BC12" s="158"/>
      <c r="BD12" s="158"/>
      <c r="BE12" s="158"/>
      <c r="BF12" s="158"/>
      <c r="BG12" s="209"/>
      <c r="BH12" s="209"/>
      <c r="BI12" s="95"/>
      <c r="BJ12" s="95"/>
      <c r="BK12" s="95"/>
      <c r="BL12" s="96"/>
      <c r="BM12" s="96"/>
      <c r="BN12" s="96"/>
      <c r="BO12" s="96"/>
      <c r="BP12" s="96"/>
      <c r="BQ12" s="96"/>
      <c r="BR12" s="96"/>
      <c r="BS12" s="96"/>
      <c r="BT12" s="96"/>
      <c r="BU12" s="96"/>
      <c r="BV12" s="96"/>
      <c r="BW12" s="96"/>
      <c r="BX12" s="96"/>
      <c r="BY12" s="96"/>
      <c r="BZ12" s="96"/>
    </row>
    <row r="13" spans="1:78" s="83" customFormat="1" ht="42" customHeight="1">
      <c r="A13" s="338" t="s">
        <v>722</v>
      </c>
      <c r="B13" s="338"/>
      <c r="C13" s="338"/>
      <c r="D13" s="338"/>
      <c r="E13" s="338" t="str">
        <f>"The ship’s Hatch No."&amp; AJ12&amp;" installed with 4 steel panels of MacGREGOR folding type hatch covers, appeared to be in normal condition. ( Photo No. "&amp;AC11&amp;")."</f>
        <v>The ship’s Hatch No.1, 2, 3, 4, 5 installed with 4 steel panels of MacGREGOR folding type hatch covers, appeared to be in normal condition. ( Photo No. 2~5).</v>
      </c>
      <c r="F13" s="338"/>
      <c r="G13" s="338"/>
      <c r="H13" s="338"/>
      <c r="I13" s="338"/>
      <c r="J13" s="338"/>
      <c r="K13" s="338"/>
      <c r="L13" s="338"/>
      <c r="M13" s="338"/>
      <c r="N13" s="338"/>
      <c r="O13" s="338"/>
      <c r="P13" s="338"/>
      <c r="Q13" s="338"/>
      <c r="R13" s="338"/>
      <c r="S13" s="338"/>
      <c r="T13" s="338"/>
      <c r="U13" s="338"/>
      <c r="V13" s="338"/>
      <c r="W13" s="338"/>
      <c r="X13" s="338"/>
      <c r="AD13" s="164"/>
      <c r="AE13" s="164"/>
      <c r="AF13" s="164"/>
      <c r="AG13" s="164"/>
      <c r="AH13" s="164"/>
      <c r="AI13" s="168"/>
      <c r="AJ13" s="168"/>
      <c r="BA13" s="158"/>
      <c r="BB13" s="158"/>
      <c r="BC13" s="158"/>
      <c r="BD13" s="158"/>
      <c r="BE13" s="158"/>
      <c r="BF13" s="158"/>
      <c r="BG13" s="209"/>
      <c r="BH13" s="209"/>
      <c r="BI13" s="95"/>
      <c r="BJ13" s="95"/>
      <c r="BK13" s="95"/>
      <c r="BL13" s="96"/>
      <c r="BM13" s="96"/>
      <c r="BN13" s="96"/>
      <c r="BO13" s="96"/>
      <c r="BP13" s="96"/>
      <c r="BQ13" s="96"/>
      <c r="BR13" s="96"/>
      <c r="BS13" s="96"/>
      <c r="BT13" s="96"/>
      <c r="BU13" s="96"/>
      <c r="BV13" s="96"/>
      <c r="BW13" s="96"/>
      <c r="BX13" s="96"/>
      <c r="BY13" s="96"/>
      <c r="BZ13" s="96"/>
    </row>
    <row r="14" spans="1:78" s="83" customFormat="1" ht="14.25">
      <c r="A14" s="266"/>
      <c r="B14" s="266"/>
      <c r="C14" s="266"/>
      <c r="D14" s="266"/>
      <c r="E14" s="266"/>
      <c r="F14" s="266"/>
      <c r="G14" s="266"/>
      <c r="H14" s="266"/>
      <c r="I14" s="266"/>
      <c r="J14" s="266"/>
      <c r="K14" s="266"/>
      <c r="L14" s="266"/>
      <c r="M14" s="266"/>
      <c r="N14" s="266"/>
      <c r="O14" s="266"/>
      <c r="P14" s="266"/>
      <c r="Q14" s="266"/>
      <c r="R14" s="266"/>
      <c r="S14" s="266"/>
      <c r="T14" s="266"/>
      <c r="U14" s="266"/>
      <c r="V14" s="266"/>
      <c r="W14" s="266"/>
      <c r="X14" s="266"/>
      <c r="AB14" s="164" t="s">
        <v>90</v>
      </c>
      <c r="AC14" s="265" t="s">
        <v>726</v>
      </c>
      <c r="AD14" s="164"/>
      <c r="AE14" s="164"/>
      <c r="AF14" s="164"/>
      <c r="AG14" s="164"/>
      <c r="AH14" s="164"/>
      <c r="AI14" s="168"/>
      <c r="AJ14" s="168"/>
      <c r="BA14" s="158"/>
      <c r="BB14" s="158"/>
      <c r="BC14" s="158"/>
      <c r="BD14" s="158"/>
      <c r="BE14" s="158"/>
      <c r="BF14" s="158"/>
      <c r="BG14" s="209"/>
      <c r="BH14" s="209"/>
      <c r="BI14" s="95"/>
      <c r="BJ14" s="95"/>
      <c r="BK14" s="95"/>
      <c r="BL14" s="96"/>
      <c r="BM14" s="96"/>
      <c r="BN14" s="96"/>
      <c r="BO14" s="96"/>
      <c r="BP14" s="96"/>
      <c r="BQ14" s="96"/>
      <c r="BR14" s="96"/>
      <c r="BS14" s="96"/>
      <c r="BT14" s="96"/>
      <c r="BU14" s="96"/>
      <c r="BV14" s="96"/>
      <c r="BW14" s="96"/>
      <c r="BX14" s="96"/>
      <c r="BY14" s="96"/>
      <c r="BZ14" s="96"/>
    </row>
    <row r="15" spans="1:78" s="83" customFormat="1" ht="48.6" customHeight="1">
      <c r="A15" s="340" t="s">
        <v>725</v>
      </c>
      <c r="B15" s="340"/>
      <c r="C15" s="340"/>
      <c r="D15" s="340"/>
      <c r="E15" s="338" t="str">
        <f>"The ship’s Hold No. "&amp;AJ12&amp;" appeared to be swept with no visible moisture on tank topplates for allocating the subject goods. Natural vents for hold ventilation in normal appearance were reported to be in good operational order. (Photo No. "&amp;AC14&amp;")."</f>
        <v>The ship’s Hold No. 1, 2, 3, 4, 5 appeared to be swept with no visible moisture on tank topplates for allocating the subject goods. Natural vents for hold ventilation in normal appearance were reported to be in good operational order. (Photo No. 5~9).</v>
      </c>
      <c r="F15" s="338"/>
      <c r="G15" s="338"/>
      <c r="H15" s="338"/>
      <c r="I15" s="338"/>
      <c r="J15" s="338"/>
      <c r="K15" s="338"/>
      <c r="L15" s="338"/>
      <c r="M15" s="338"/>
      <c r="N15" s="338"/>
      <c r="O15" s="338"/>
      <c r="P15" s="338"/>
      <c r="Q15" s="338"/>
      <c r="R15" s="338"/>
      <c r="S15" s="338"/>
      <c r="T15" s="338"/>
      <c r="U15" s="338"/>
      <c r="V15" s="338"/>
      <c r="W15" s="338"/>
      <c r="X15" s="338"/>
      <c r="AB15" s="164"/>
      <c r="AC15" s="164"/>
      <c r="AD15" s="164"/>
      <c r="AE15" s="164"/>
      <c r="AF15" s="164"/>
      <c r="AG15" s="164"/>
      <c r="AH15" s="164"/>
      <c r="AI15" s="168"/>
      <c r="AJ15" s="168"/>
      <c r="BA15" s="158"/>
      <c r="BB15" s="158"/>
      <c r="BC15" s="158"/>
      <c r="BD15" s="158"/>
      <c r="BE15" s="158"/>
      <c r="BF15" s="158"/>
      <c r="BG15" s="209"/>
      <c r="BH15" s="209"/>
      <c r="BI15" s="95"/>
      <c r="BJ15" s="95"/>
      <c r="BK15" s="95"/>
      <c r="BL15" s="96"/>
      <c r="BM15" s="96"/>
      <c r="BN15" s="96"/>
      <c r="BO15" s="96"/>
      <c r="BP15" s="96"/>
      <c r="BQ15" s="96"/>
      <c r="BR15" s="96"/>
      <c r="BS15" s="96"/>
      <c r="BT15" s="96"/>
      <c r="BU15" s="96"/>
      <c r="BV15" s="96"/>
      <c r="BW15" s="96"/>
      <c r="BX15" s="96"/>
      <c r="BY15" s="96"/>
      <c r="BZ15" s="96"/>
    </row>
    <row r="16" spans="1:78" s="83" customFormat="1" ht="15.95" customHeight="1">
      <c r="A16" s="173"/>
      <c r="B16" s="173"/>
      <c r="C16" s="173"/>
      <c r="D16" s="173"/>
      <c r="E16" s="173"/>
      <c r="F16" s="174"/>
      <c r="G16" s="174"/>
      <c r="H16" s="174"/>
      <c r="I16" s="174"/>
      <c r="J16" s="174"/>
      <c r="K16" s="174"/>
      <c r="L16" s="173"/>
      <c r="M16" s="175"/>
      <c r="N16" s="175"/>
      <c r="O16" s="175"/>
      <c r="P16" s="175"/>
      <c r="Q16" s="175"/>
      <c r="AB16" s="164" t="s">
        <v>90</v>
      </c>
      <c r="AC16" s="164" t="s">
        <v>726</v>
      </c>
      <c r="AD16" s="164"/>
      <c r="AE16" s="164"/>
      <c r="AF16" s="164"/>
      <c r="AG16" s="164"/>
      <c r="AH16" s="164"/>
      <c r="AI16" s="168"/>
      <c r="AJ16" s="168"/>
      <c r="BA16" s="158"/>
      <c r="BB16" s="158"/>
      <c r="BC16" s="158"/>
      <c r="BD16" s="158"/>
      <c r="BE16" s="158"/>
      <c r="BF16" s="158"/>
      <c r="BG16" s="209"/>
      <c r="BH16" s="209"/>
      <c r="BI16" s="95"/>
      <c r="BJ16" s="95"/>
      <c r="BK16" s="95"/>
      <c r="BL16" s="96"/>
      <c r="BM16" s="96"/>
      <c r="BN16" s="96"/>
      <c r="BO16" s="96"/>
      <c r="BP16" s="96"/>
      <c r="BQ16" s="96"/>
      <c r="BR16" s="96"/>
      <c r="BS16" s="96"/>
      <c r="BT16" s="96"/>
      <c r="BU16" s="96"/>
      <c r="BV16" s="96"/>
      <c r="BW16" s="96"/>
      <c r="BX16" s="96"/>
      <c r="BY16" s="96"/>
      <c r="BZ16" s="96"/>
    </row>
    <row r="17" spans="1:78" s="83" customFormat="1" ht="42.6" customHeight="1">
      <c r="A17" s="341" t="s">
        <v>78</v>
      </c>
      <c r="B17" s="341"/>
      <c r="C17" s="341"/>
      <c r="D17" s="341"/>
      <c r="E17" s="338" t="str">
        <f>"The cargo in coils had been mostly stored in rows X 1 ~ 2 tier(s) high on the concrete ground in port godown No. "&amp;AC17&amp;" before the vessel’s arrival. Neither chemical nor corrosive object was uncovered in the vicinity. (Photo No. "&amp;AC16&amp;")."</f>
        <v>The cargo in coils had been mostly stored in rows X 1 ~ 2 tier(s) high on the concrete ground in port godown No. 35 before the vessel’s arrival. Neither chemical nor corrosive object was uncovered in the vicinity. (Photo No. 5~9).</v>
      </c>
      <c r="F17" s="338"/>
      <c r="G17" s="338"/>
      <c r="H17" s="338"/>
      <c r="I17" s="338"/>
      <c r="J17" s="338"/>
      <c r="K17" s="338"/>
      <c r="L17" s="338"/>
      <c r="M17" s="338"/>
      <c r="N17" s="338"/>
      <c r="O17" s="338"/>
      <c r="P17" s="338"/>
      <c r="Q17" s="338"/>
      <c r="R17" s="338"/>
      <c r="S17" s="338"/>
      <c r="T17" s="338"/>
      <c r="U17" s="338"/>
      <c r="V17" s="338"/>
      <c r="W17" s="338"/>
      <c r="X17" s="338"/>
      <c r="AB17" s="164" t="s">
        <v>727</v>
      </c>
      <c r="AC17" s="164">
        <f>裝船表格!V13</f>
        <v>35</v>
      </c>
      <c r="AD17" s="164"/>
      <c r="AE17" s="164"/>
      <c r="AF17" s="164"/>
      <c r="AG17" s="164"/>
      <c r="AH17" s="164"/>
      <c r="AI17" s="168"/>
      <c r="AJ17" s="168"/>
      <c r="BA17" s="158"/>
      <c r="BB17" s="158"/>
      <c r="BC17" s="158"/>
      <c r="BD17" s="158"/>
      <c r="BE17" s="158"/>
      <c r="BF17" s="158"/>
      <c r="BG17" s="209"/>
      <c r="BH17" s="209"/>
      <c r="BI17" s="95"/>
      <c r="BJ17" s="95"/>
      <c r="BK17" s="95"/>
      <c r="BL17" s="96"/>
      <c r="BM17" s="96"/>
      <c r="BN17" s="96"/>
      <c r="BO17" s="96"/>
      <c r="BP17" s="96"/>
      <c r="BQ17" s="96"/>
      <c r="BR17" s="96"/>
      <c r="BS17" s="96"/>
      <c r="BT17" s="96"/>
      <c r="BU17" s="96"/>
      <c r="BV17" s="96"/>
      <c r="BW17" s="96"/>
      <c r="BX17" s="96"/>
      <c r="BY17" s="96"/>
      <c r="BZ17" s="96"/>
    </row>
    <row r="18" spans="1:78" s="83" customFormat="1" ht="15.95" customHeight="1">
      <c r="A18" s="173"/>
      <c r="B18" s="173"/>
      <c r="C18" s="173"/>
      <c r="D18" s="173"/>
      <c r="E18" s="173"/>
      <c r="F18" s="174"/>
      <c r="G18" s="174"/>
      <c r="H18" s="174"/>
      <c r="I18" s="174"/>
      <c r="J18" s="174"/>
      <c r="K18" s="174"/>
      <c r="L18" s="173"/>
      <c r="M18" s="175"/>
      <c r="N18" s="175"/>
      <c r="O18" s="175"/>
      <c r="P18" s="175"/>
      <c r="Q18" s="175"/>
      <c r="R18" s="173"/>
      <c r="S18" s="173"/>
      <c r="T18" s="97"/>
      <c r="U18" s="168"/>
      <c r="V18" s="168"/>
      <c r="W18" s="168"/>
      <c r="X18" s="259"/>
      <c r="Z18" s="164"/>
      <c r="AA18" s="164"/>
      <c r="AB18" s="164" t="s">
        <v>90</v>
      </c>
      <c r="AC18" s="164" t="s">
        <v>726</v>
      </c>
      <c r="AD18" s="164"/>
      <c r="AE18" s="164"/>
      <c r="AF18" s="164"/>
      <c r="AG18" s="164"/>
      <c r="AH18" s="164"/>
      <c r="AI18" s="168"/>
      <c r="AJ18" s="168"/>
      <c r="BA18" s="158"/>
      <c r="BB18" s="158"/>
      <c r="BC18" s="158"/>
      <c r="BD18" s="158"/>
      <c r="BE18" s="158"/>
      <c r="BF18" s="158"/>
      <c r="BG18" s="209"/>
      <c r="BH18" s="209"/>
      <c r="BI18" s="95"/>
      <c r="BJ18" s="95"/>
      <c r="BK18" s="95"/>
      <c r="BL18" s="96"/>
      <c r="BM18" s="96"/>
      <c r="BN18" s="96"/>
      <c r="BO18" s="96"/>
      <c r="BP18" s="96"/>
      <c r="BQ18" s="96"/>
      <c r="BR18" s="96"/>
      <c r="BS18" s="96"/>
      <c r="BT18" s="96"/>
      <c r="BU18" s="96"/>
      <c r="BV18" s="96"/>
      <c r="BW18" s="96"/>
      <c r="BX18" s="96"/>
      <c r="BY18" s="96"/>
      <c r="BZ18" s="96"/>
    </row>
    <row r="19" spans="1:78" s="83" customFormat="1" ht="102.6" customHeight="1">
      <c r="A19" s="341" t="s">
        <v>86</v>
      </c>
      <c r="B19" s="341"/>
      <c r="C19" s="341"/>
      <c r="D19" s="341"/>
      <c r="E19" s="338" t="str">
        <f>AC19</f>
        <v>The cargo in coils was moved by single-boom-/fork-lifts from piles to the chassis at port godown No. , next trailered to Wharf No. , and shifted by single-boom/fork-lifts from the chassis to line alongside the vessel, then loaded into the vessel’s Hold No.  by the ship’s gantry with the spreaders, wire ropes, steel chains, shackles and cargo hooks connecting to special belt slings. To facilitate the loading operation, single-boom-lifts were handled in the vessel’s holds for shifting and piling coils.</v>
      </c>
      <c r="F19" s="338"/>
      <c r="G19" s="338"/>
      <c r="H19" s="338"/>
      <c r="I19" s="338"/>
      <c r="J19" s="338"/>
      <c r="K19" s="338"/>
      <c r="L19" s="338"/>
      <c r="M19" s="338"/>
      <c r="N19" s="338"/>
      <c r="O19" s="338"/>
      <c r="P19" s="338"/>
      <c r="Q19" s="338"/>
      <c r="R19" s="338"/>
      <c r="S19" s="338"/>
      <c r="T19" s="338"/>
      <c r="U19" s="338"/>
      <c r="V19" s="338"/>
      <c r="W19" s="338"/>
      <c r="X19" s="338"/>
      <c r="Z19" s="164"/>
      <c r="AA19" s="164"/>
      <c r="AB19" s="164"/>
      <c r="AC19" s="164" t="str">
        <f>"The cargo in coils was moved by single-boom-/fork-lifts from piles to the chassis at port godown No. "&amp;AC4&amp;", next trailered to Wharf No. "&amp;AC4&amp;", and shifted by single-boom/fork-lifts from the chassis to line alongside the vessel, then loaded into the vessel’s Hold No. "&amp;AJ10&amp;" by the ship’s gantry with the spreaders, wire ropes, steel chains, shackles and cargo hooks connecting to special belt slings. To facilitate the loading operation, single-boom-lifts were handled in the vessel’s holds for shifting and piling coils."</f>
        <v>The cargo in coils was moved by single-boom-/fork-lifts from piles to the chassis at port godown No. , next trailered to Wharf No. , and shifted by single-boom/fork-lifts from the chassis to line alongside the vessel, then loaded into the vessel’s Hold No.  by the ship’s gantry with the spreaders, wire ropes, steel chains, shackles and cargo hooks connecting to special belt slings. To facilitate the loading operation, single-boom-lifts were handled in the vessel’s holds for shifting and piling coils.</v>
      </c>
      <c r="AD19" s="164"/>
      <c r="AE19" s="164"/>
      <c r="AF19" s="164"/>
      <c r="AG19" s="164"/>
      <c r="AH19" s="164"/>
      <c r="AI19" s="168"/>
      <c r="AJ19" s="168"/>
      <c r="BA19" s="158"/>
      <c r="BB19" s="158"/>
      <c r="BC19" s="158"/>
      <c r="BD19" s="158"/>
      <c r="BE19" s="158"/>
      <c r="BF19" s="158"/>
      <c r="BG19" s="209"/>
      <c r="BH19" s="209"/>
      <c r="BI19" s="95"/>
      <c r="BJ19" s="95"/>
      <c r="BK19" s="95"/>
      <c r="BL19" s="96"/>
      <c r="BM19" s="96"/>
      <c r="BN19" s="96"/>
      <c r="BO19" s="96"/>
      <c r="BP19" s="96"/>
      <c r="BQ19" s="96"/>
      <c r="BR19" s="96"/>
      <c r="BS19" s="96"/>
      <c r="BT19" s="96"/>
      <c r="BU19" s="96"/>
      <c r="BV19" s="96"/>
      <c r="BW19" s="96"/>
      <c r="BX19" s="96"/>
      <c r="BY19" s="96"/>
      <c r="BZ19" s="96"/>
    </row>
    <row r="20" spans="1:78" s="83" customFormat="1" ht="15.95" customHeight="1">
      <c r="A20" s="173"/>
      <c r="B20" s="173"/>
      <c r="C20" s="173"/>
      <c r="D20" s="173"/>
      <c r="E20" s="173"/>
      <c r="F20" s="174"/>
      <c r="G20" s="174"/>
      <c r="H20" s="174"/>
      <c r="I20" s="174"/>
      <c r="J20" s="174"/>
      <c r="K20" s="174"/>
      <c r="L20" s="173"/>
      <c r="M20" s="175"/>
      <c r="N20" s="175"/>
      <c r="O20" s="175"/>
      <c r="P20" s="175"/>
      <c r="Q20" s="175"/>
      <c r="R20" s="173"/>
      <c r="S20" s="173"/>
      <c r="T20" s="97"/>
      <c r="U20" s="168"/>
      <c r="V20" s="168"/>
      <c r="W20" s="168"/>
      <c r="X20" s="259"/>
      <c r="Z20" s="164"/>
      <c r="AA20" s="164"/>
      <c r="AB20" s="256" t="s">
        <v>728</v>
      </c>
      <c r="AC20" s="164" t="str">
        <f>"The cargo in coils either trailered from the mill to alongside the vessel or moved by single-boom-lifts from piles to the chassis at port godown No. "&amp;AC17&amp;", next trailered to alongside the vessel was lifted away from the chassis, and directly loaded into the ship’s Hold No. "&amp;AJ12&amp;" by the ship’s cranes with the spreaders, wire ropes, steel chains, shackles and cargo hooks connecting to special belt slings. "&amp;"To facilitate the loading operation, single-boom-lifts were handled in the ship’s hold for shifting and piling coils. (Photo No. "&amp;AC18&amp;")."</f>
        <v>The cargo in coils either trailered from the mill to alongside the vessel or moved by single-boom-lifts from piles to the chassis at port godown No. 35, next trailered to alongside the vessel was lifted away from the chassis, and directly loaded into the ship’s Hold No. 1, 2, 3, 4, 5 by the ship’s cranes with the spreaders, wire ropes, steel chains, shackles and cargo hooks connecting to special belt slings. To facilitate the loading operation, single-boom-lifts were handled in the ship’s hold for shifting and piling coils. (Photo No. 5~9).</v>
      </c>
      <c r="AD20" s="164"/>
      <c r="AE20" s="164"/>
      <c r="AF20" s="164"/>
      <c r="AG20" s="164"/>
      <c r="AH20" s="164"/>
      <c r="AI20" s="168"/>
      <c r="AJ20" s="168"/>
      <c r="BA20" s="158"/>
      <c r="BB20" s="158"/>
      <c r="BC20" s="158"/>
      <c r="BD20" s="158"/>
      <c r="BE20" s="158"/>
      <c r="BF20" s="158"/>
      <c r="BG20" s="209"/>
      <c r="BH20" s="209"/>
      <c r="BI20" s="95"/>
      <c r="BJ20" s="95"/>
      <c r="BK20" s="95"/>
      <c r="BL20" s="96"/>
      <c r="BM20" s="96"/>
      <c r="BN20" s="96"/>
      <c r="BO20" s="96"/>
      <c r="BP20" s="96"/>
      <c r="BQ20" s="96"/>
      <c r="BR20" s="96"/>
      <c r="BS20" s="96"/>
      <c r="BT20" s="96"/>
      <c r="BU20" s="96"/>
      <c r="BV20" s="96"/>
      <c r="BW20" s="96"/>
      <c r="BX20" s="96"/>
      <c r="BY20" s="96"/>
      <c r="BZ20" s="96"/>
    </row>
    <row r="21" spans="1:78" s="83" customFormat="1" ht="15.95" customHeight="1">
      <c r="E21" s="173"/>
      <c r="F21" s="174"/>
      <c r="G21" s="174"/>
      <c r="H21" s="174"/>
      <c r="I21" s="174"/>
      <c r="J21" s="174"/>
      <c r="K21" s="174"/>
      <c r="L21" s="173"/>
      <c r="M21" s="175"/>
      <c r="N21" s="175"/>
      <c r="O21" s="175"/>
      <c r="P21" s="175"/>
      <c r="Q21" s="175"/>
      <c r="R21" s="173"/>
      <c r="S21" s="173"/>
      <c r="T21" s="97"/>
      <c r="U21" s="168"/>
      <c r="V21" s="168"/>
      <c r="W21" s="168"/>
      <c r="X21" s="259"/>
      <c r="Z21" s="164"/>
      <c r="AA21" s="164"/>
      <c r="AB21" s="164" t="s">
        <v>745</v>
      </c>
      <c r="AC21" s="164" t="str">
        <f>"The cargo in coils was moved by single-boom-/fork-lifts from piles to the chassis at port godown No. "&amp;AC6&amp;", next trailered to Wharf No. "&amp;AC6&amp;", and shifted by single-boom/fork-lifts from the chassis to line alongside the vessel, then loaded into the vessel’s Hold No. "&amp;AJ12&amp;" by the ship’s gantry with the spreaders, wire ropes, steel chains, shackles and cargo hooks connecting to special belt slings. To facilitate the loading operation, single-boom-lifts were handled in the vessel’s holds for shifting and piling coils."</f>
        <v>The cargo in coils was moved by single-boom-/fork-lifts from piles to the chassis at port godown No. 35, next trailered to Wharf No. 35, and shifted by single-boom/fork-lifts from the chassis to line alongside the vessel, then loaded into the vessel’s Hold No. 1, 2, 3, 4, 5 by the ship’s gantry with the spreaders, wire ropes, steel chains, shackles and cargo hooks connecting to special belt slings. To facilitate the loading operation, single-boom-lifts were handled in the vessel’s holds for shifting and piling coils.</v>
      </c>
      <c r="AD21" s="164"/>
      <c r="AE21" s="164"/>
      <c r="AF21" s="164"/>
      <c r="AG21" s="164"/>
      <c r="AH21" s="164"/>
      <c r="AI21" s="168"/>
      <c r="AJ21" s="168"/>
      <c r="BA21" s="158"/>
      <c r="BB21" s="158"/>
      <c r="BC21" s="158"/>
      <c r="BD21" s="158"/>
      <c r="BE21" s="158"/>
      <c r="BF21" s="158"/>
      <c r="BG21" s="209"/>
      <c r="BH21" s="209"/>
      <c r="BI21" s="95"/>
      <c r="BJ21" s="95"/>
      <c r="BK21" s="95"/>
      <c r="BL21" s="96"/>
      <c r="BM21" s="96"/>
      <c r="BN21" s="96"/>
      <c r="BO21" s="96"/>
      <c r="BP21" s="96"/>
      <c r="BQ21" s="96"/>
      <c r="BR21" s="96"/>
      <c r="BS21" s="96"/>
      <c r="BT21" s="96"/>
      <c r="BU21" s="96"/>
      <c r="BV21" s="96"/>
      <c r="BW21" s="96"/>
      <c r="BX21" s="96"/>
      <c r="BY21" s="96"/>
      <c r="BZ21" s="96"/>
    </row>
    <row r="22" spans="1:78" s="83" customFormat="1" ht="15.95" customHeight="1">
      <c r="A22" s="173"/>
      <c r="B22" s="173"/>
      <c r="C22" s="173"/>
      <c r="D22" s="173"/>
      <c r="E22" s="173"/>
      <c r="F22" s="174"/>
      <c r="G22" s="174"/>
      <c r="H22" s="174"/>
      <c r="I22" s="174"/>
      <c r="J22" s="174"/>
      <c r="K22" s="174"/>
      <c r="L22" s="173"/>
      <c r="M22" s="175"/>
      <c r="N22" s="175"/>
      <c r="O22" s="175"/>
      <c r="P22" s="175"/>
      <c r="Q22" s="175"/>
      <c r="R22" s="173"/>
      <c r="S22" s="173"/>
      <c r="T22" s="97"/>
      <c r="U22" s="168"/>
      <c r="V22" s="168"/>
      <c r="W22" s="168"/>
      <c r="X22" s="259"/>
      <c r="Z22" s="164"/>
      <c r="AA22" s="164"/>
      <c r="AB22" s="164"/>
      <c r="AC22" s="164" t="s">
        <v>729</v>
      </c>
      <c r="AD22" s="164"/>
      <c r="AE22" s="164"/>
      <c r="AF22" s="164"/>
      <c r="AG22" s="164"/>
      <c r="AH22" s="164"/>
      <c r="AI22" s="168"/>
      <c r="AJ22" s="168"/>
      <c r="BA22" s="158"/>
      <c r="BB22" s="158"/>
      <c r="BC22" s="158"/>
      <c r="BD22" s="158"/>
      <c r="BE22" s="158"/>
      <c r="BF22" s="158"/>
      <c r="BG22" s="209"/>
      <c r="BH22" s="209"/>
      <c r="BI22" s="95"/>
      <c r="BJ22" s="95"/>
      <c r="BK22" s="95"/>
      <c r="BL22" s="96"/>
      <c r="BM22" s="96"/>
      <c r="BN22" s="96"/>
      <c r="BO22" s="96"/>
      <c r="BP22" s="96"/>
      <c r="BQ22" s="96"/>
      <c r="BR22" s="96"/>
      <c r="BS22" s="96"/>
      <c r="BT22" s="96"/>
      <c r="BU22" s="96"/>
      <c r="BV22" s="96"/>
      <c r="BW22" s="96"/>
      <c r="BX22" s="96"/>
      <c r="BY22" s="96"/>
      <c r="BZ22" s="96"/>
    </row>
    <row r="23" spans="1:78" s="83" customFormat="1" ht="15.95" customHeight="1">
      <c r="A23" s="173"/>
      <c r="B23" s="173"/>
      <c r="C23" s="173"/>
      <c r="D23" s="173"/>
      <c r="E23" s="173"/>
      <c r="F23" s="174"/>
      <c r="G23" s="174"/>
      <c r="H23" s="174"/>
      <c r="I23" s="174"/>
      <c r="J23" s="174"/>
      <c r="K23" s="174"/>
      <c r="L23" s="173"/>
      <c r="M23" s="175"/>
      <c r="N23" s="175"/>
      <c r="O23" s="175"/>
      <c r="P23" s="175"/>
      <c r="Q23" s="175"/>
      <c r="R23" s="173"/>
      <c r="S23" s="173"/>
      <c r="T23" s="97"/>
      <c r="U23" s="168"/>
      <c r="V23" s="168"/>
      <c r="W23" s="168"/>
      <c r="X23" s="259"/>
      <c r="Z23" s="164"/>
      <c r="AA23" s="164"/>
      <c r="AB23" s="164"/>
      <c r="AC23" s="164" t="s">
        <v>730</v>
      </c>
      <c r="AD23" s="164"/>
      <c r="AE23" s="164"/>
      <c r="AF23" s="164"/>
      <c r="AG23" s="164"/>
      <c r="AH23" s="164"/>
      <c r="AI23" s="168"/>
      <c r="AJ23" s="168"/>
      <c r="BA23" s="158"/>
      <c r="BB23" s="158"/>
      <c r="BC23" s="158"/>
      <c r="BD23" s="158"/>
      <c r="BE23" s="158"/>
      <c r="BF23" s="158"/>
      <c r="BG23" s="209"/>
      <c r="BH23" s="209"/>
      <c r="BI23" s="95"/>
      <c r="BJ23" s="95"/>
      <c r="BK23" s="95"/>
      <c r="BL23" s="96"/>
      <c r="BM23" s="96"/>
      <c r="BN23" s="96"/>
      <c r="BO23" s="96"/>
      <c r="BP23" s="96"/>
      <c r="BQ23" s="96"/>
      <c r="BR23" s="96"/>
      <c r="BS23" s="96"/>
      <c r="BT23" s="96"/>
      <c r="BU23" s="96"/>
      <c r="BV23" s="96"/>
      <c r="BW23" s="96"/>
      <c r="BX23" s="96"/>
      <c r="BY23" s="96"/>
      <c r="BZ23" s="96"/>
    </row>
    <row r="24" spans="1:78" s="83" customFormat="1" ht="15.95" customHeight="1">
      <c r="A24" s="173"/>
      <c r="B24" s="173"/>
      <c r="C24" s="173"/>
      <c r="D24" s="173"/>
      <c r="E24" s="173"/>
      <c r="F24" s="174"/>
      <c r="G24" s="174"/>
      <c r="H24" s="174"/>
      <c r="I24" s="174"/>
      <c r="J24" s="174"/>
      <c r="K24" s="174"/>
      <c r="L24" s="173"/>
      <c r="M24" s="175"/>
      <c r="N24" s="175"/>
      <c r="O24" s="175"/>
      <c r="P24" s="175"/>
      <c r="Q24" s="175"/>
      <c r="R24" s="173"/>
      <c r="S24" s="173"/>
      <c r="T24" s="97"/>
      <c r="U24" s="168"/>
      <c r="V24" s="168"/>
      <c r="W24" s="168"/>
      <c r="X24" s="259"/>
      <c r="Z24" s="164"/>
      <c r="AA24" s="164"/>
      <c r="AB24" s="164"/>
      <c r="AC24" s="164"/>
      <c r="AD24" s="164"/>
      <c r="AE24" s="164"/>
      <c r="AF24" s="164"/>
      <c r="AG24" s="164"/>
      <c r="AH24" s="164"/>
      <c r="AI24" s="168"/>
      <c r="AJ24" s="168"/>
      <c r="BA24" s="158"/>
      <c r="BB24" s="146"/>
      <c r="BC24" s="158"/>
      <c r="BD24" s="158"/>
      <c r="BE24" s="158"/>
      <c r="BF24" s="158"/>
      <c r="BG24" s="209"/>
      <c r="BH24" s="209"/>
      <c r="BI24" s="95"/>
      <c r="BJ24" s="95"/>
      <c r="BK24" s="95"/>
      <c r="BL24" s="96"/>
      <c r="BM24" s="96"/>
      <c r="BN24" s="96"/>
      <c r="BO24" s="96"/>
      <c r="BP24" s="96"/>
      <c r="BQ24" s="96"/>
      <c r="BR24" s="96"/>
      <c r="BS24" s="96"/>
      <c r="BT24" s="96"/>
      <c r="BU24" s="96"/>
      <c r="BV24" s="96"/>
      <c r="BW24" s="96"/>
      <c r="BX24" s="96"/>
      <c r="BY24" s="96"/>
      <c r="BZ24" s="96"/>
    </row>
    <row r="25" spans="1:78" s="83" customFormat="1" ht="15.95" customHeight="1">
      <c r="A25" s="173"/>
      <c r="B25" s="173"/>
      <c r="C25" s="173"/>
      <c r="D25" s="173"/>
      <c r="E25" s="173"/>
      <c r="F25" s="174"/>
      <c r="G25" s="174"/>
      <c r="H25" s="174"/>
      <c r="I25" s="174"/>
      <c r="J25" s="174"/>
      <c r="K25" s="174"/>
      <c r="L25" s="173"/>
      <c r="M25" s="175"/>
      <c r="N25" s="175"/>
      <c r="O25" s="175"/>
      <c r="P25" s="175"/>
      <c r="Q25" s="175"/>
      <c r="R25" s="173"/>
      <c r="S25" s="173"/>
      <c r="T25" s="97"/>
      <c r="U25" s="168"/>
      <c r="V25" s="168"/>
      <c r="W25" s="168"/>
      <c r="X25" s="259"/>
      <c r="Z25" s="164"/>
      <c r="AA25" s="267" t="s">
        <v>732</v>
      </c>
      <c r="AB25" s="164" t="s">
        <v>727</v>
      </c>
      <c r="AC25" s="164" t="s">
        <v>731</v>
      </c>
      <c r="AD25" s="164"/>
      <c r="AE25" s="164"/>
      <c r="AF25" s="164"/>
      <c r="AG25" s="164"/>
      <c r="AH25" s="164"/>
      <c r="AI25" s="168"/>
      <c r="AJ25" s="168"/>
      <c r="BA25" s="158"/>
      <c r="BB25" s="158"/>
      <c r="BC25" s="158"/>
      <c r="BD25" s="158"/>
      <c r="BE25" s="158"/>
      <c r="BF25" s="158"/>
      <c r="BG25" s="209"/>
      <c r="BH25" s="209"/>
      <c r="BI25" s="95"/>
      <c r="BJ25" s="95"/>
      <c r="BK25" s="95"/>
      <c r="BL25" s="96"/>
      <c r="BM25" s="96"/>
      <c r="BN25" s="96"/>
      <c r="BO25" s="96"/>
      <c r="BP25" s="96"/>
      <c r="BQ25" s="96"/>
      <c r="BR25" s="96"/>
      <c r="BS25" s="96"/>
      <c r="BT25" s="96"/>
      <c r="BU25" s="96"/>
      <c r="BV25" s="96"/>
      <c r="BW25" s="96"/>
      <c r="BX25" s="96"/>
      <c r="BY25" s="96"/>
      <c r="BZ25" s="96"/>
    </row>
    <row r="26" spans="1:78" s="83" customFormat="1" ht="15.95" customHeight="1">
      <c r="A26" s="173"/>
      <c r="B26" s="173"/>
      <c r="C26" s="173"/>
      <c r="D26" s="173"/>
      <c r="E26" s="173"/>
      <c r="F26" s="174"/>
      <c r="G26" s="174"/>
      <c r="H26" s="174"/>
      <c r="I26" s="174"/>
      <c r="J26" s="174"/>
      <c r="K26" s="174"/>
      <c r="L26" s="173"/>
      <c r="M26" s="175"/>
      <c r="N26" s="175"/>
      <c r="O26" s="175"/>
      <c r="P26" s="175"/>
      <c r="Q26" s="175"/>
      <c r="R26" s="173"/>
      <c r="S26" s="173"/>
      <c r="T26" s="97"/>
      <c r="U26" s="168"/>
      <c r="V26" s="168"/>
      <c r="W26" s="168"/>
      <c r="X26" s="259"/>
      <c r="Z26" s="164"/>
      <c r="AA26" s="164"/>
      <c r="AB26" s="164" t="s">
        <v>733</v>
      </c>
      <c r="AC26" s="164" t="s">
        <v>734</v>
      </c>
      <c r="AD26" s="164"/>
      <c r="AE26" s="164"/>
      <c r="AF26" s="164"/>
      <c r="AG26" s="164"/>
      <c r="AH26" s="164"/>
      <c r="AI26" s="168"/>
      <c r="AJ26" s="168"/>
      <c r="BA26" s="158"/>
      <c r="BD26" s="158"/>
      <c r="BE26" s="158"/>
      <c r="BF26" s="158"/>
      <c r="BG26" s="209"/>
      <c r="BH26" s="209"/>
      <c r="BI26" s="95"/>
      <c r="BJ26" s="95"/>
      <c r="BK26" s="95"/>
      <c r="BL26" s="96"/>
      <c r="BM26" s="96"/>
      <c r="BN26" s="96"/>
      <c r="BO26" s="96"/>
      <c r="BP26" s="96"/>
      <c r="BQ26" s="96"/>
      <c r="BR26" s="96"/>
      <c r="BS26" s="96"/>
      <c r="BT26" s="96"/>
      <c r="BU26" s="96"/>
      <c r="BV26" s="96"/>
      <c r="BW26" s="96"/>
      <c r="BX26" s="96"/>
      <c r="BY26" s="96"/>
      <c r="BZ26" s="96"/>
    </row>
    <row r="27" spans="1:78" s="83" customFormat="1" ht="15.95" customHeight="1">
      <c r="A27" s="173"/>
      <c r="B27" s="173"/>
      <c r="C27" s="173"/>
      <c r="D27" s="173"/>
      <c r="E27" s="173"/>
      <c r="F27" s="174"/>
      <c r="G27" s="174"/>
      <c r="H27" s="174"/>
      <c r="I27" s="174"/>
      <c r="J27" s="174"/>
      <c r="K27" s="174"/>
      <c r="L27" s="173"/>
      <c r="M27" s="175"/>
      <c r="N27" s="175"/>
      <c r="O27" s="175"/>
      <c r="P27" s="175"/>
      <c r="Q27" s="175"/>
      <c r="R27" s="173"/>
      <c r="S27" s="173"/>
      <c r="T27" s="97"/>
      <c r="U27" s="168"/>
      <c r="V27" s="168"/>
      <c r="W27" s="168"/>
      <c r="X27" s="259"/>
      <c r="Z27" s="164"/>
      <c r="AA27" s="164"/>
      <c r="AB27" s="164"/>
      <c r="AC27" s="164"/>
      <c r="AD27" s="164"/>
      <c r="AE27" s="164"/>
      <c r="AF27" s="164"/>
      <c r="AG27" s="164"/>
      <c r="AH27" s="164"/>
      <c r="AI27" s="168"/>
      <c r="AJ27" s="168"/>
      <c r="BL27" s="209"/>
      <c r="BM27" s="209"/>
      <c r="BN27" s="209"/>
      <c r="BO27" s="209"/>
      <c r="BP27" s="209"/>
      <c r="BQ27" s="209"/>
      <c r="BR27" s="209"/>
      <c r="BS27" s="209"/>
      <c r="BT27" s="209"/>
      <c r="BU27" s="209"/>
      <c r="BV27" s="209"/>
      <c r="BW27" s="209"/>
      <c r="BX27" s="209"/>
      <c r="BY27" s="209"/>
      <c r="BZ27" s="209"/>
    </row>
    <row r="28" spans="1:78" s="83" customFormat="1" ht="15.95" customHeight="1">
      <c r="A28" s="173"/>
      <c r="B28" s="173"/>
      <c r="C28" s="173"/>
      <c r="D28" s="173"/>
      <c r="E28" s="173"/>
      <c r="F28" s="174"/>
      <c r="G28" s="174"/>
      <c r="H28" s="174"/>
      <c r="I28" s="174"/>
      <c r="J28" s="174"/>
      <c r="K28" s="174"/>
      <c r="L28" s="173"/>
      <c r="M28" s="175"/>
      <c r="N28" s="175"/>
      <c r="O28" s="175"/>
      <c r="P28" s="175"/>
      <c r="Q28" s="175"/>
      <c r="R28" s="173"/>
      <c r="S28" s="173"/>
      <c r="T28" s="97"/>
      <c r="U28" s="168"/>
      <c r="V28" s="168"/>
      <c r="W28" s="168"/>
      <c r="X28" s="259"/>
      <c r="Z28" s="164"/>
      <c r="AA28" s="267" t="s">
        <v>735</v>
      </c>
      <c r="AB28" s="164" t="s">
        <v>727</v>
      </c>
      <c r="AC28" s="164" t="s">
        <v>736</v>
      </c>
      <c r="AD28" s="164"/>
      <c r="AE28" s="164"/>
      <c r="AF28" s="164"/>
      <c r="AG28" s="164"/>
      <c r="AH28" s="164"/>
      <c r="AI28" s="168"/>
      <c r="AJ28" s="168"/>
      <c r="BL28" s="209"/>
      <c r="BM28" s="209"/>
      <c r="BN28" s="209"/>
      <c r="BO28" s="209"/>
      <c r="BP28" s="209"/>
      <c r="BQ28" s="209"/>
      <c r="BR28" s="209"/>
      <c r="BS28" s="209"/>
      <c r="BT28" s="209"/>
      <c r="BU28" s="209"/>
      <c r="BV28" s="209"/>
      <c r="BW28" s="209"/>
      <c r="BX28" s="209"/>
      <c r="BY28" s="209"/>
      <c r="BZ28" s="209"/>
    </row>
    <row r="29" spans="1:78" s="83" customFormat="1" ht="15.95" customHeight="1">
      <c r="A29" s="173"/>
      <c r="B29" s="173"/>
      <c r="C29" s="173"/>
      <c r="D29" s="173"/>
      <c r="E29" s="173"/>
      <c r="F29" s="174"/>
      <c r="G29" s="174"/>
      <c r="H29" s="174"/>
      <c r="I29" s="174"/>
      <c r="J29" s="174"/>
      <c r="K29" s="174"/>
      <c r="L29" s="173"/>
      <c r="M29" s="175"/>
      <c r="N29" s="175"/>
      <c r="O29" s="175"/>
      <c r="P29" s="175"/>
      <c r="Q29" s="175"/>
      <c r="R29" s="173"/>
      <c r="S29" s="173"/>
      <c r="T29" s="97"/>
      <c r="U29" s="168"/>
      <c r="V29" s="168"/>
      <c r="W29" s="168"/>
      <c r="X29" s="259"/>
      <c r="Z29" s="164"/>
      <c r="AA29" s="164"/>
      <c r="AB29" s="164" t="s">
        <v>654</v>
      </c>
      <c r="AC29" s="164" t="s">
        <v>737</v>
      </c>
      <c r="AD29" s="164"/>
      <c r="AE29" s="164"/>
      <c r="AF29" s="164"/>
      <c r="AG29" s="164"/>
      <c r="AH29" s="164"/>
      <c r="AI29" s="168"/>
      <c r="AJ29" s="168"/>
      <c r="BL29" s="209"/>
      <c r="BM29" s="209"/>
      <c r="BN29" s="209"/>
      <c r="BO29" s="209"/>
      <c r="BP29" s="209"/>
      <c r="BQ29" s="209"/>
      <c r="BR29" s="209"/>
      <c r="BS29" s="209"/>
      <c r="BT29" s="209"/>
      <c r="BU29" s="209"/>
      <c r="BV29" s="209"/>
      <c r="BW29" s="209"/>
      <c r="BX29" s="209"/>
      <c r="BY29" s="209"/>
      <c r="BZ29" s="209"/>
    </row>
    <row r="30" spans="1:78" s="83" customFormat="1" ht="15.95" customHeight="1">
      <c r="A30" s="173"/>
      <c r="B30" s="173"/>
      <c r="C30" s="173"/>
      <c r="D30" s="173"/>
      <c r="E30" s="173"/>
      <c r="F30" s="174"/>
      <c r="G30" s="174"/>
      <c r="H30" s="174"/>
      <c r="I30" s="174"/>
      <c r="J30" s="174"/>
      <c r="K30" s="174"/>
      <c r="L30" s="173"/>
      <c r="M30" s="175"/>
      <c r="N30" s="175"/>
      <c r="O30" s="175"/>
      <c r="P30" s="175"/>
      <c r="Q30" s="175"/>
      <c r="R30" s="173"/>
      <c r="S30" s="173"/>
      <c r="T30" s="97"/>
      <c r="U30" s="168"/>
      <c r="V30" s="168"/>
      <c r="W30" s="168"/>
      <c r="X30" s="259"/>
      <c r="Z30" s="164"/>
      <c r="AA30" s="164"/>
      <c r="AB30" s="164" t="s">
        <v>738</v>
      </c>
      <c r="AC30" s="164" t="s">
        <v>739</v>
      </c>
      <c r="AD30" s="164"/>
      <c r="AE30" s="164"/>
      <c r="AF30" s="164"/>
      <c r="AG30" s="164"/>
      <c r="AH30" s="164"/>
      <c r="AI30" s="168"/>
      <c r="AJ30" s="168"/>
      <c r="BL30" s="209"/>
      <c r="BM30" s="209"/>
      <c r="BN30" s="209"/>
      <c r="BO30" s="209"/>
      <c r="BP30" s="209"/>
      <c r="BQ30" s="209"/>
      <c r="BR30" s="209"/>
      <c r="BS30" s="209"/>
      <c r="BT30" s="209"/>
      <c r="BU30" s="209"/>
      <c r="BV30" s="209"/>
      <c r="BW30" s="209"/>
      <c r="BX30" s="209"/>
      <c r="BY30" s="209"/>
      <c r="BZ30" s="209"/>
    </row>
    <row r="31" spans="1:78" s="83" customFormat="1" ht="14.25">
      <c r="E31" s="173"/>
      <c r="F31" s="174"/>
      <c r="G31" s="174"/>
      <c r="H31" s="174"/>
      <c r="I31" s="174"/>
      <c r="J31" s="174"/>
      <c r="K31" s="174"/>
      <c r="L31" s="173"/>
      <c r="M31" s="175"/>
      <c r="N31" s="175"/>
      <c r="O31" s="175"/>
      <c r="P31" s="175"/>
      <c r="Q31" s="175"/>
      <c r="R31" s="173"/>
      <c r="S31" s="173"/>
      <c r="T31" s="97"/>
      <c r="U31" s="168"/>
      <c r="V31" s="168"/>
      <c r="W31" s="168"/>
      <c r="X31" s="259"/>
      <c r="Z31" s="164"/>
      <c r="AA31" s="164"/>
      <c r="AB31" s="164"/>
      <c r="AC31" s="164" t="s">
        <v>84</v>
      </c>
      <c r="AD31" s="164"/>
      <c r="AE31" s="164"/>
      <c r="AF31" s="164"/>
      <c r="AG31" s="164"/>
      <c r="AH31" s="164"/>
      <c r="AI31" s="168"/>
      <c r="AJ31" s="168"/>
      <c r="BL31" s="209"/>
      <c r="BM31" s="209"/>
      <c r="BN31" s="209"/>
      <c r="BO31" s="209"/>
      <c r="BP31" s="209"/>
      <c r="BQ31" s="209"/>
      <c r="BR31" s="209"/>
      <c r="BS31" s="209"/>
      <c r="BT31" s="209"/>
      <c r="BU31" s="209"/>
      <c r="BV31" s="209"/>
      <c r="BW31" s="209"/>
      <c r="BX31" s="209"/>
      <c r="BY31" s="209"/>
      <c r="BZ31" s="209"/>
    </row>
    <row r="32" spans="1:78" s="83" customFormat="1" ht="15.95" customHeight="1">
      <c r="A32" s="173"/>
      <c r="B32" s="173"/>
      <c r="C32" s="173"/>
      <c r="D32" s="173"/>
      <c r="E32" s="173"/>
      <c r="F32" s="174"/>
      <c r="G32" s="174"/>
      <c r="H32" s="174"/>
      <c r="I32" s="174"/>
      <c r="J32" s="174"/>
      <c r="K32" s="174"/>
      <c r="L32" s="173"/>
      <c r="M32" s="175"/>
      <c r="N32" s="175"/>
      <c r="O32" s="175"/>
      <c r="P32" s="175"/>
      <c r="Q32" s="175"/>
      <c r="R32" s="173"/>
      <c r="S32" s="173"/>
      <c r="T32" s="97"/>
      <c r="U32" s="168"/>
      <c r="V32" s="168"/>
      <c r="W32" s="168"/>
      <c r="X32" s="259"/>
      <c r="Z32" s="164"/>
      <c r="AA32" s="164"/>
      <c r="AB32" s="164"/>
      <c r="AC32" s="164"/>
      <c r="AD32" s="164"/>
      <c r="AE32" s="164"/>
      <c r="AF32" s="164"/>
      <c r="AG32" s="164"/>
      <c r="AH32" s="164"/>
      <c r="AI32" s="168"/>
      <c r="AJ32" s="168"/>
      <c r="BL32" s="209"/>
      <c r="BM32" s="209"/>
      <c r="BN32" s="209"/>
      <c r="BO32" s="209"/>
      <c r="BP32" s="209"/>
      <c r="BQ32" s="209"/>
      <c r="BR32" s="209"/>
      <c r="BS32" s="209"/>
      <c r="BT32" s="209"/>
      <c r="BU32" s="209"/>
      <c r="BV32" s="209"/>
      <c r="BW32" s="209"/>
      <c r="BX32" s="209"/>
      <c r="BY32" s="209"/>
      <c r="BZ32" s="209"/>
    </row>
    <row r="33" spans="1:78" s="83" customFormat="1" ht="68.099999999999994" customHeight="1">
      <c r="A33" s="339" t="s">
        <v>88</v>
      </c>
      <c r="B33" s="339"/>
      <c r="C33" s="339"/>
      <c r="D33" s="339"/>
      <c r="E33" s="338" t="str">
        <f>AB33</f>
        <v>The cargo in coils in sound packaging condition was visually inspected on the exterior where accessible alongside the vessel during the entire course of loading, and found to be appeared in general good order, except for Coil No. 07L369B00 partly wrinkled at circumferential packing steel sheet. (Photo No. 18)</v>
      </c>
      <c r="F33" s="338"/>
      <c r="G33" s="338"/>
      <c r="H33" s="338"/>
      <c r="I33" s="338"/>
      <c r="J33" s="338"/>
      <c r="K33" s="338"/>
      <c r="L33" s="338"/>
      <c r="M33" s="338"/>
      <c r="N33" s="338"/>
      <c r="O33" s="338"/>
      <c r="P33" s="338"/>
      <c r="Q33" s="338"/>
      <c r="R33" s="338"/>
      <c r="S33" s="338"/>
      <c r="T33" s="338"/>
      <c r="U33" s="338"/>
      <c r="V33" s="338"/>
      <c r="W33" s="338"/>
      <c r="X33" s="338"/>
      <c r="Z33" s="164"/>
      <c r="AA33" s="164"/>
      <c r="AB33" s="164" t="s">
        <v>740</v>
      </c>
      <c r="AC33" s="164"/>
      <c r="AD33" s="164"/>
      <c r="AE33" s="164"/>
      <c r="AF33" s="164"/>
      <c r="AG33" s="164"/>
      <c r="AH33" s="164"/>
      <c r="AI33" s="168"/>
      <c r="AJ33" s="168"/>
      <c r="BL33" s="209"/>
      <c r="BM33" s="209"/>
      <c r="BN33" s="209"/>
      <c r="BO33" s="209"/>
      <c r="BP33" s="209"/>
      <c r="BQ33" s="209"/>
      <c r="BR33" s="209"/>
      <c r="BS33" s="209"/>
      <c r="BT33" s="209"/>
      <c r="BU33" s="209"/>
      <c r="BV33" s="209"/>
      <c r="BW33" s="209"/>
      <c r="BX33" s="209"/>
      <c r="BY33" s="209"/>
      <c r="BZ33" s="209"/>
    </row>
    <row r="34" spans="1:78" s="83" customFormat="1" ht="15.95" customHeight="1">
      <c r="A34" s="173"/>
      <c r="B34" s="173"/>
      <c r="C34" s="173"/>
      <c r="D34" s="173"/>
      <c r="E34" s="173"/>
      <c r="F34" s="174"/>
      <c r="G34" s="174"/>
      <c r="H34" s="174"/>
      <c r="I34" s="174"/>
      <c r="J34" s="174"/>
      <c r="K34" s="174"/>
      <c r="L34" s="173"/>
      <c r="M34" s="175"/>
      <c r="N34" s="175"/>
      <c r="O34" s="175"/>
      <c r="P34" s="175"/>
      <c r="Q34" s="175"/>
      <c r="R34" s="173"/>
      <c r="S34" s="173"/>
      <c r="T34" s="97"/>
      <c r="U34" s="168"/>
      <c r="V34" s="168"/>
      <c r="W34" s="168"/>
      <c r="X34" s="259"/>
      <c r="Z34" s="164"/>
      <c r="AA34" s="164"/>
      <c r="AB34" s="164"/>
      <c r="AC34" s="164" t="s">
        <v>740</v>
      </c>
      <c r="AD34" s="164"/>
      <c r="AE34" s="164"/>
      <c r="AF34" s="164"/>
      <c r="AG34" s="164"/>
      <c r="AH34" s="164"/>
      <c r="AI34" s="168"/>
      <c r="AJ34" s="168"/>
      <c r="BL34" s="209"/>
      <c r="BM34" s="209"/>
      <c r="BN34" s="209"/>
      <c r="BO34" s="209"/>
      <c r="BP34" s="209"/>
      <c r="BQ34" s="209"/>
      <c r="BR34" s="209"/>
      <c r="BS34" s="209"/>
      <c r="BT34" s="209"/>
      <c r="BU34" s="209"/>
      <c r="BV34" s="209"/>
      <c r="BW34" s="209"/>
      <c r="BX34" s="209"/>
      <c r="BY34" s="209"/>
      <c r="BZ34" s="209"/>
    </row>
    <row r="35" spans="1:78" s="83" customFormat="1" ht="15.95" customHeight="1">
      <c r="A35" s="173"/>
      <c r="B35" s="173"/>
      <c r="C35" s="173"/>
      <c r="D35" s="173"/>
      <c r="E35" s="173"/>
      <c r="F35" s="174"/>
      <c r="G35" s="174"/>
      <c r="H35" s="174"/>
      <c r="I35" s="174"/>
      <c r="J35" s="174"/>
      <c r="K35" s="174"/>
      <c r="L35" s="173"/>
      <c r="M35" s="175"/>
      <c r="N35" s="175"/>
      <c r="O35" s="175"/>
      <c r="P35" s="175"/>
      <c r="Q35" s="175"/>
      <c r="R35" s="173"/>
      <c r="S35" s="173"/>
      <c r="T35" s="97"/>
      <c r="U35" s="168"/>
      <c r="V35" s="168"/>
      <c r="W35" s="168"/>
      <c r="X35" s="259"/>
      <c r="Z35" s="164"/>
      <c r="AA35" s="164"/>
      <c r="AB35" s="164"/>
      <c r="AC35" s="164" t="s">
        <v>741</v>
      </c>
      <c r="AD35" s="164"/>
      <c r="AE35" s="164"/>
      <c r="AF35" s="164"/>
      <c r="AG35" s="164"/>
      <c r="AH35" s="164"/>
      <c r="AI35" s="168"/>
      <c r="AJ35" s="168"/>
      <c r="BL35" s="209"/>
      <c r="BM35" s="209"/>
      <c r="BN35" s="209"/>
      <c r="BO35" s="209"/>
      <c r="BP35" s="209"/>
      <c r="BQ35" s="209"/>
      <c r="BR35" s="209"/>
      <c r="BS35" s="209"/>
      <c r="BT35" s="209"/>
      <c r="BU35" s="209"/>
      <c r="BV35" s="209"/>
      <c r="BW35" s="209"/>
      <c r="BX35" s="209"/>
      <c r="BY35" s="209"/>
      <c r="BZ35" s="209"/>
    </row>
    <row r="36" spans="1:78" s="83" customFormat="1" ht="15.95" customHeight="1">
      <c r="A36" s="173"/>
      <c r="B36" s="173"/>
      <c r="C36" s="173"/>
      <c r="D36" s="173"/>
      <c r="E36" s="173"/>
      <c r="F36" s="174"/>
      <c r="G36" s="174"/>
      <c r="H36" s="174"/>
      <c r="I36" s="174"/>
      <c r="J36" s="174"/>
      <c r="K36" s="174"/>
      <c r="L36" s="173"/>
      <c r="M36" s="175"/>
      <c r="N36" s="175"/>
      <c r="O36" s="175"/>
      <c r="P36" s="175"/>
      <c r="Q36" s="175"/>
      <c r="R36" s="173"/>
      <c r="S36" s="173"/>
      <c r="T36" s="97"/>
      <c r="U36" s="168"/>
      <c r="V36" s="168"/>
      <c r="W36" s="168"/>
      <c r="X36" s="259"/>
      <c r="Z36" s="164"/>
      <c r="AA36" s="164"/>
      <c r="AB36" s="164"/>
      <c r="AC36" s="164" t="s">
        <v>742</v>
      </c>
      <c r="AD36" s="164"/>
      <c r="AE36" s="164"/>
      <c r="AF36" s="164"/>
      <c r="AG36" s="164"/>
      <c r="AH36" s="164"/>
      <c r="AI36" s="168"/>
      <c r="AJ36" s="168"/>
      <c r="BL36" s="209"/>
      <c r="BM36" s="209"/>
      <c r="BN36" s="209"/>
      <c r="BO36" s="209"/>
      <c r="BP36" s="209"/>
      <c r="BQ36" s="209"/>
      <c r="BR36" s="209"/>
      <c r="BS36" s="209"/>
      <c r="BT36" s="209"/>
      <c r="BU36" s="209"/>
      <c r="BV36" s="209"/>
      <c r="BW36" s="209"/>
      <c r="BX36" s="209"/>
      <c r="BY36" s="209"/>
      <c r="BZ36" s="209"/>
    </row>
    <row r="37" spans="1:78" s="83" customFormat="1" ht="15.95" customHeight="1">
      <c r="A37" s="173"/>
      <c r="B37" s="173"/>
      <c r="C37" s="173"/>
      <c r="D37" s="173"/>
      <c r="E37" s="173"/>
      <c r="F37" s="174"/>
      <c r="G37" s="174"/>
      <c r="H37" s="174"/>
      <c r="I37" s="174"/>
      <c r="J37" s="174"/>
      <c r="K37" s="174"/>
      <c r="L37" s="173"/>
      <c r="M37" s="175"/>
      <c r="N37" s="175"/>
      <c r="O37" s="175"/>
      <c r="P37" s="175"/>
      <c r="Q37" s="175"/>
      <c r="R37" s="173"/>
      <c r="S37" s="173"/>
      <c r="T37" s="97"/>
      <c r="U37" s="168"/>
      <c r="V37" s="168"/>
      <c r="W37" s="168"/>
      <c r="X37" s="259"/>
      <c r="Z37" s="164"/>
      <c r="AA37" s="164"/>
      <c r="AB37" s="164"/>
      <c r="AC37" s="164" t="s">
        <v>743</v>
      </c>
      <c r="AD37" s="164"/>
      <c r="AE37" s="164"/>
      <c r="AF37" s="164"/>
      <c r="AG37" s="164"/>
      <c r="AH37" s="164"/>
      <c r="AI37" s="168"/>
      <c r="AJ37" s="168"/>
      <c r="BL37" s="209"/>
      <c r="BM37" s="209"/>
      <c r="BN37" s="209"/>
      <c r="BO37" s="209"/>
      <c r="BP37" s="209"/>
      <c r="BQ37" s="209"/>
      <c r="BR37" s="209"/>
      <c r="BS37" s="209"/>
      <c r="BT37" s="209"/>
      <c r="BU37" s="209"/>
      <c r="BV37" s="209"/>
      <c r="BW37" s="209"/>
      <c r="BX37" s="209"/>
      <c r="BY37" s="209"/>
      <c r="BZ37" s="209"/>
    </row>
    <row r="38" spans="1:78" s="83" customFormat="1" ht="59.1" customHeight="1">
      <c r="A38" s="340" t="s">
        <v>744</v>
      </c>
      <c r="B38" s="340"/>
      <c r="C38" s="340"/>
      <c r="D38" s="340"/>
      <c r="E38" s="338" t="str">
        <f>"The number of coils loaded into the vessel’s Hold No. "&amp;AJ12&amp;" was duly tallied to have the outturn results as the below distribution:"</f>
        <v>The number of coils loaded into the vessel’s Hold No. 1, 2, 3, 4, 5 was duly tallied to have the outturn results as the below distribution:</v>
      </c>
      <c r="F38" s="338"/>
      <c r="G38" s="338"/>
      <c r="H38" s="338"/>
      <c r="I38" s="338"/>
      <c r="J38" s="338"/>
      <c r="K38" s="338"/>
      <c r="L38" s="338"/>
      <c r="M38" s="338"/>
      <c r="N38" s="338"/>
      <c r="O38" s="338"/>
      <c r="P38" s="338"/>
      <c r="Q38" s="338"/>
      <c r="R38" s="338"/>
      <c r="S38" s="338"/>
      <c r="T38" s="338"/>
      <c r="U38" s="338"/>
      <c r="V38" s="338"/>
      <c r="W38" s="338"/>
      <c r="X38" s="338"/>
      <c r="Z38" s="164"/>
      <c r="AA38" s="164"/>
      <c r="AB38" s="164"/>
      <c r="AC38" s="164"/>
      <c r="AD38" s="164"/>
      <c r="AE38" s="164"/>
      <c r="AF38" s="164"/>
      <c r="AG38" s="164"/>
      <c r="AH38" s="164"/>
      <c r="AI38" s="168"/>
      <c r="AJ38" s="168"/>
      <c r="BL38" s="209"/>
      <c r="BM38" s="209"/>
      <c r="BN38" s="209"/>
      <c r="BO38" s="209"/>
      <c r="BP38" s="209"/>
      <c r="BQ38" s="209"/>
      <c r="BR38" s="209"/>
      <c r="BS38" s="209"/>
      <c r="BT38" s="209"/>
      <c r="BU38" s="209"/>
      <c r="BV38" s="209"/>
      <c r="BW38" s="209"/>
      <c r="BX38" s="209"/>
      <c r="BY38" s="209"/>
      <c r="BZ38" s="209"/>
    </row>
    <row r="39" spans="1:78" s="83" customFormat="1" ht="15.95" customHeight="1">
      <c r="A39" s="173"/>
      <c r="B39" s="173"/>
      <c r="C39" s="173"/>
      <c r="D39" s="173"/>
      <c r="E39" s="173"/>
      <c r="F39" s="174"/>
      <c r="G39" s="174"/>
      <c r="H39" s="174"/>
      <c r="I39" s="174"/>
      <c r="J39" s="174"/>
      <c r="K39" s="174"/>
      <c r="L39" s="173"/>
      <c r="M39" s="175"/>
      <c r="N39" s="175"/>
      <c r="O39" s="175"/>
      <c r="P39" s="175"/>
      <c r="Q39" s="175"/>
      <c r="R39" s="173"/>
      <c r="S39" s="173"/>
      <c r="T39" s="97"/>
      <c r="U39" s="168"/>
      <c r="V39" s="168"/>
      <c r="W39" s="168"/>
      <c r="X39" s="259"/>
      <c r="Z39" s="164"/>
      <c r="AA39" s="164"/>
      <c r="AB39" s="164"/>
      <c r="AC39" s="164"/>
      <c r="AD39" s="164"/>
      <c r="AE39" s="164"/>
      <c r="AF39" s="164"/>
      <c r="AG39" s="164"/>
      <c r="AH39" s="164"/>
      <c r="AI39" s="168"/>
      <c r="AJ39" s="168"/>
      <c r="BL39" s="209"/>
      <c r="BM39" s="209"/>
      <c r="BN39" s="209"/>
      <c r="BO39" s="209"/>
      <c r="BP39" s="209"/>
      <c r="BQ39" s="209"/>
      <c r="BR39" s="209"/>
      <c r="BS39" s="209"/>
      <c r="BT39" s="209"/>
      <c r="BU39" s="209"/>
      <c r="BV39" s="209"/>
      <c r="BW39" s="209"/>
      <c r="BX39" s="209"/>
      <c r="BY39" s="209"/>
      <c r="BZ39" s="209"/>
    </row>
    <row r="40" spans="1:78" s="83" customFormat="1" ht="15.95" customHeight="1">
      <c r="A40" s="268"/>
      <c r="B40" s="269"/>
      <c r="C40" s="173"/>
      <c r="D40" s="173"/>
      <c r="E40" s="173"/>
      <c r="F40" s="174"/>
      <c r="G40" s="174"/>
      <c r="H40" s="174"/>
      <c r="I40" s="174"/>
      <c r="J40" s="174"/>
      <c r="K40" s="174"/>
      <c r="L40" s="173"/>
      <c r="M40" s="175"/>
      <c r="N40" s="175"/>
      <c r="O40" s="175"/>
      <c r="P40" s="175"/>
      <c r="Q40" s="175"/>
      <c r="R40" s="173"/>
      <c r="S40" s="173"/>
      <c r="T40" s="97"/>
      <c r="U40" s="168"/>
      <c r="V40" s="168"/>
      <c r="W40" s="168"/>
      <c r="X40" s="259"/>
      <c r="Z40" s="164"/>
      <c r="AA40" s="164"/>
      <c r="AB40" s="164"/>
      <c r="AC40" s="164"/>
      <c r="AD40" s="164"/>
      <c r="AE40" s="164"/>
      <c r="AF40" s="164"/>
      <c r="AG40" s="164"/>
      <c r="AH40" s="164"/>
      <c r="AI40" s="168"/>
      <c r="AJ40" s="168"/>
      <c r="BL40" s="209"/>
      <c r="BM40" s="209"/>
      <c r="BN40" s="209"/>
      <c r="BO40" s="209"/>
      <c r="BP40" s="209"/>
      <c r="BQ40" s="209"/>
      <c r="BR40" s="209"/>
      <c r="BS40" s="209"/>
      <c r="BT40" s="209"/>
      <c r="BU40" s="209"/>
      <c r="BV40" s="209"/>
      <c r="BW40" s="209"/>
      <c r="BX40" s="209"/>
      <c r="BY40" s="209"/>
      <c r="BZ40" s="209"/>
    </row>
    <row r="41" spans="1:78" s="83" customFormat="1" ht="15.95" customHeight="1">
      <c r="A41" s="270"/>
      <c r="B41" s="269"/>
      <c r="C41" s="173"/>
      <c r="D41" s="173"/>
      <c r="E41" s="173"/>
      <c r="F41" s="174"/>
      <c r="G41" s="174"/>
      <c r="H41" s="174"/>
      <c r="I41" s="174"/>
      <c r="J41" s="174"/>
      <c r="K41" s="174"/>
      <c r="L41" s="173"/>
      <c r="M41" s="175"/>
      <c r="N41" s="175"/>
      <c r="O41" s="175"/>
      <c r="P41" s="175"/>
      <c r="Q41" s="175"/>
      <c r="R41" s="173"/>
      <c r="S41" s="173"/>
      <c r="T41" s="97"/>
      <c r="U41" s="168"/>
      <c r="V41" s="168"/>
      <c r="W41" s="168"/>
      <c r="X41" s="259"/>
      <c r="Z41" s="164"/>
      <c r="AA41" s="164"/>
      <c r="AB41" s="164"/>
      <c r="AC41" s="164"/>
      <c r="AD41" s="164"/>
      <c r="AE41" s="164"/>
      <c r="AF41" s="164"/>
      <c r="AG41" s="164"/>
      <c r="AH41" s="164"/>
      <c r="AI41" s="168"/>
      <c r="AJ41" s="168"/>
      <c r="BL41" s="209"/>
      <c r="BM41" s="209"/>
      <c r="BN41" s="209"/>
      <c r="BO41" s="209"/>
      <c r="BP41" s="209"/>
      <c r="BQ41" s="209"/>
      <c r="BR41" s="209"/>
      <c r="BS41" s="209"/>
      <c r="BT41" s="209"/>
      <c r="BU41" s="209"/>
      <c r="BV41" s="209"/>
      <c r="BW41" s="209"/>
      <c r="BX41" s="209"/>
      <c r="BY41" s="209"/>
      <c r="BZ41" s="209"/>
    </row>
    <row r="42" spans="1:78" s="83" customFormat="1" ht="15.95" customHeight="1">
      <c r="A42" s="173"/>
      <c r="B42" s="173"/>
      <c r="C42" s="173"/>
      <c r="D42" s="173"/>
      <c r="E42" s="173"/>
      <c r="F42" s="174"/>
      <c r="G42" s="174"/>
      <c r="H42" s="174"/>
      <c r="I42" s="174"/>
      <c r="J42" s="174"/>
      <c r="K42" s="174"/>
      <c r="L42" s="173"/>
      <c r="M42" s="175"/>
      <c r="N42" s="175"/>
      <c r="O42" s="175"/>
      <c r="P42" s="175"/>
      <c r="Q42" s="175"/>
      <c r="R42" s="173"/>
      <c r="S42" s="173"/>
      <c r="T42" s="97"/>
      <c r="U42" s="168"/>
      <c r="V42" s="168"/>
      <c r="W42" s="168"/>
      <c r="X42" s="259"/>
      <c r="Z42" s="164"/>
      <c r="AA42" s="164"/>
      <c r="AB42" s="164"/>
      <c r="AC42" s="164"/>
      <c r="AD42" s="164"/>
      <c r="AE42" s="164"/>
      <c r="AF42" s="164"/>
      <c r="AG42" s="164"/>
      <c r="AH42" s="164"/>
      <c r="AI42" s="168"/>
      <c r="AJ42" s="168"/>
      <c r="BL42" s="209"/>
      <c r="BM42" s="209"/>
      <c r="BN42" s="209"/>
      <c r="BO42" s="209"/>
      <c r="BP42" s="209"/>
      <c r="BQ42" s="209"/>
      <c r="BR42" s="209"/>
      <c r="BS42" s="209"/>
      <c r="BT42" s="209"/>
      <c r="BU42" s="209"/>
      <c r="BV42" s="209"/>
      <c r="BW42" s="209"/>
      <c r="BX42" s="209"/>
      <c r="BY42" s="209"/>
      <c r="BZ42" s="209"/>
    </row>
    <row r="43" spans="1:78" s="83" customFormat="1" ht="15.95" customHeight="1">
      <c r="A43" s="173"/>
      <c r="B43" s="173"/>
      <c r="C43" s="173"/>
      <c r="D43" s="173"/>
      <c r="E43" s="173"/>
      <c r="F43" s="174"/>
      <c r="G43" s="174"/>
      <c r="H43" s="174"/>
      <c r="I43" s="174"/>
      <c r="J43" s="174"/>
      <c r="K43" s="174"/>
      <c r="L43" s="173"/>
      <c r="M43" s="175"/>
      <c r="N43" s="175"/>
      <c r="O43" s="175"/>
      <c r="P43" s="175"/>
      <c r="Q43" s="175"/>
      <c r="R43" s="173"/>
      <c r="S43" s="173"/>
      <c r="T43" s="97"/>
      <c r="U43" s="168"/>
      <c r="V43" s="168"/>
      <c r="W43" s="168"/>
      <c r="X43" s="259"/>
      <c r="Z43" s="164"/>
      <c r="AA43" s="164"/>
      <c r="AB43" s="164"/>
      <c r="AC43" s="164"/>
      <c r="AD43" s="164"/>
      <c r="AE43" s="164"/>
      <c r="AF43" s="164"/>
      <c r="AG43" s="164"/>
      <c r="AH43" s="164"/>
      <c r="AI43" s="168"/>
      <c r="AJ43" s="168"/>
      <c r="BL43" s="209"/>
      <c r="BM43" s="209"/>
      <c r="BN43" s="209"/>
      <c r="BO43" s="209"/>
      <c r="BP43" s="209"/>
      <c r="BQ43" s="209"/>
      <c r="BR43" s="209"/>
      <c r="BS43" s="209"/>
      <c r="BT43" s="209"/>
      <c r="BU43" s="209"/>
      <c r="BV43" s="209"/>
      <c r="BW43" s="209"/>
      <c r="BX43" s="209"/>
      <c r="BY43" s="209"/>
      <c r="BZ43" s="209"/>
    </row>
    <row r="44" spans="1:78" s="83" customFormat="1" ht="15.95" customHeight="1">
      <c r="A44" s="173"/>
      <c r="B44" s="173"/>
      <c r="C44" s="173"/>
      <c r="D44" s="173"/>
      <c r="E44" s="173"/>
      <c r="F44" s="174"/>
      <c r="G44" s="174"/>
      <c r="H44" s="174"/>
      <c r="I44" s="174"/>
      <c r="J44" s="174"/>
      <c r="K44" s="174"/>
      <c r="L44" s="176"/>
      <c r="M44" s="175"/>
      <c r="N44" s="175"/>
      <c r="O44" s="175"/>
      <c r="P44" s="175"/>
      <c r="Q44" s="175"/>
      <c r="R44" s="173"/>
      <c r="S44" s="176"/>
      <c r="T44" s="97"/>
      <c r="U44" s="168"/>
      <c r="V44" s="168"/>
      <c r="W44" s="168"/>
      <c r="X44" s="168"/>
      <c r="Z44" s="164"/>
      <c r="AA44" s="164"/>
      <c r="AB44" s="164"/>
      <c r="AC44" s="164"/>
      <c r="AD44" s="164"/>
      <c r="AE44" s="164"/>
      <c r="AF44" s="164"/>
      <c r="AG44" s="164"/>
      <c r="AH44" s="164"/>
      <c r="AI44" s="168"/>
      <c r="AJ44" s="168"/>
    </row>
    <row r="45" spans="1:78" s="83" customFormat="1" ht="15.95" customHeight="1">
      <c r="A45" s="173"/>
      <c r="B45" s="173"/>
      <c r="C45" s="173"/>
      <c r="D45" s="173"/>
      <c r="E45" s="173"/>
      <c r="F45" s="174"/>
      <c r="G45" s="174"/>
      <c r="H45" s="174"/>
      <c r="I45" s="174"/>
      <c r="J45" s="174"/>
      <c r="K45" s="174"/>
      <c r="L45" s="176"/>
      <c r="M45" s="175"/>
      <c r="N45" s="175"/>
      <c r="O45" s="175"/>
      <c r="P45" s="175"/>
      <c r="Q45" s="175"/>
      <c r="R45" s="173"/>
      <c r="S45" s="176"/>
      <c r="T45" s="97"/>
      <c r="U45" s="168"/>
      <c r="V45" s="168"/>
      <c r="W45" s="168"/>
      <c r="X45" s="168"/>
      <c r="Z45" s="164"/>
      <c r="AA45" s="164"/>
      <c r="AB45" s="164"/>
      <c r="AC45" s="164"/>
      <c r="AD45" s="164"/>
      <c r="AE45" s="164"/>
      <c r="AF45" s="164"/>
      <c r="AG45" s="164"/>
      <c r="AH45" s="164"/>
      <c r="AI45" s="168"/>
      <c r="AJ45" s="168"/>
    </row>
    <row r="46" spans="1:78" s="83" customFormat="1" ht="15.95" customHeight="1">
      <c r="A46" s="173"/>
      <c r="B46" s="172"/>
      <c r="C46" s="172"/>
      <c r="D46" s="172"/>
      <c r="E46" s="172"/>
      <c r="F46" s="174"/>
      <c r="G46" s="177"/>
      <c r="H46" s="177"/>
      <c r="I46" s="172"/>
      <c r="J46" s="172"/>
      <c r="K46" s="177"/>
      <c r="L46" s="177"/>
      <c r="M46" s="175"/>
      <c r="N46" s="172"/>
      <c r="O46" s="177"/>
      <c r="P46" s="172"/>
      <c r="Q46" s="172"/>
      <c r="R46" s="177"/>
      <c r="S46" s="177"/>
      <c r="U46" s="168"/>
      <c r="V46" s="168"/>
      <c r="W46" s="168"/>
      <c r="X46" s="168"/>
      <c r="Z46" s="164"/>
      <c r="AA46" s="164"/>
      <c r="AB46" s="164"/>
      <c r="AC46" s="164"/>
      <c r="AD46" s="164"/>
      <c r="AE46" s="164"/>
      <c r="AF46" s="164"/>
      <c r="AG46" s="164"/>
      <c r="AH46" s="164"/>
      <c r="AI46" s="168"/>
      <c r="AJ46" s="168"/>
    </row>
    <row r="47" spans="1:78" s="83" customFormat="1" ht="76.5" customHeight="1">
      <c r="A47" s="341" t="s">
        <v>102</v>
      </c>
      <c r="B47" s="341"/>
      <c r="C47" s="341"/>
      <c r="D47" s="341"/>
      <c r="E47" s="338" t="str">
        <f>"The cargo in coils was loaded and stowed together with other parcels in the transversal rows X 1~3 tier(s) high on tank top plates in the ship’s Hold No. "&amp;AJ12&amp;". Each row was crossly lashed with flat metal strapping bands and cramp seals in group style for preventing coils from tripping during the voyage. (Photo No. "&amp;AD46&amp;")."</f>
        <v>The cargo in coils was loaded and stowed together with other parcels in the transversal rows X 1~3 tier(s) high on tank top plates in the ship’s Hold No. 1, 2, 3, 4, 5. Each row was crossly lashed with flat metal strapping bands and cramp seals in group style for preventing coils from tripping during the voyage. (Photo No. ).</v>
      </c>
      <c r="F47" s="338"/>
      <c r="G47" s="338"/>
      <c r="H47" s="338"/>
      <c r="I47" s="338"/>
      <c r="J47" s="338"/>
      <c r="K47" s="338"/>
      <c r="L47" s="338"/>
      <c r="M47" s="338"/>
      <c r="N47" s="338"/>
      <c r="O47" s="338"/>
      <c r="P47" s="338"/>
      <c r="Q47" s="338"/>
      <c r="R47" s="338"/>
      <c r="S47" s="338"/>
      <c r="T47" s="338"/>
      <c r="U47" s="338"/>
      <c r="V47" s="338"/>
      <c r="W47" s="338"/>
      <c r="X47" s="338"/>
      <c r="Z47" s="164"/>
      <c r="AA47" s="164"/>
      <c r="AB47" s="164"/>
      <c r="AC47" s="164"/>
      <c r="AD47" s="164"/>
      <c r="AE47" s="164"/>
      <c r="AF47" s="164"/>
      <c r="AG47" s="164"/>
      <c r="AH47" s="164"/>
      <c r="AI47" s="168"/>
      <c r="AJ47" s="168"/>
    </row>
    <row r="48" spans="1:78" s="83" customFormat="1" ht="12.6" customHeight="1">
      <c r="A48" s="271"/>
      <c r="B48" s="271"/>
      <c r="C48" s="271"/>
      <c r="D48" s="271"/>
      <c r="E48" s="266"/>
      <c r="F48" s="266"/>
      <c r="G48" s="266"/>
      <c r="H48" s="266"/>
      <c r="I48" s="266"/>
      <c r="J48" s="266"/>
      <c r="K48" s="266"/>
      <c r="L48" s="266"/>
      <c r="M48" s="266"/>
      <c r="N48" s="266"/>
      <c r="O48" s="266"/>
      <c r="P48" s="266"/>
      <c r="Q48" s="266"/>
      <c r="R48" s="266"/>
      <c r="S48" s="266"/>
      <c r="T48" s="266"/>
      <c r="U48" s="266"/>
      <c r="V48" s="266"/>
      <c r="W48" s="266"/>
      <c r="X48" s="266"/>
      <c r="Z48" s="164"/>
      <c r="AA48" s="164"/>
      <c r="AB48" s="164"/>
      <c r="AC48" s="164"/>
      <c r="AD48" s="164"/>
      <c r="AE48" s="164"/>
      <c r="AF48" s="164"/>
      <c r="AG48" s="164"/>
      <c r="AH48" s="164"/>
      <c r="AI48" s="168"/>
      <c r="AJ48" s="168"/>
    </row>
    <row r="49" spans="1:36" s="83" customFormat="1" ht="28.5" customHeight="1">
      <c r="A49" s="173"/>
      <c r="B49" s="172"/>
      <c r="C49" s="172"/>
      <c r="D49" s="172"/>
      <c r="E49" s="338" t="s">
        <v>748</v>
      </c>
      <c r="F49" s="338"/>
      <c r="G49" s="338"/>
      <c r="H49" s="338"/>
      <c r="I49" s="338"/>
      <c r="J49" s="338"/>
      <c r="K49" s="338"/>
      <c r="L49" s="338"/>
      <c r="M49" s="338"/>
      <c r="N49" s="338"/>
      <c r="O49" s="338"/>
      <c r="P49" s="338"/>
      <c r="Q49" s="338"/>
      <c r="R49" s="338"/>
      <c r="S49" s="338"/>
      <c r="T49" s="338"/>
      <c r="U49" s="338"/>
      <c r="V49" s="338"/>
      <c r="W49" s="338"/>
      <c r="X49" s="338"/>
      <c r="Z49" s="164"/>
      <c r="AA49" s="164"/>
      <c r="AB49" s="164"/>
      <c r="AC49" s="164"/>
      <c r="AD49" s="164"/>
      <c r="AE49" s="164"/>
      <c r="AF49" s="164"/>
      <c r="AG49" s="164"/>
      <c r="AH49" s="164"/>
      <c r="AI49" s="168"/>
      <c r="AJ49" s="168"/>
    </row>
    <row r="50" spans="1:36" s="83" customFormat="1" ht="15" customHeight="1">
      <c r="A50" s="173"/>
      <c r="B50" s="172"/>
      <c r="C50" s="172"/>
      <c r="D50" s="172"/>
      <c r="E50" s="172"/>
      <c r="F50" s="174"/>
      <c r="G50" s="177"/>
      <c r="H50" s="177"/>
      <c r="I50" s="172"/>
      <c r="J50" s="172"/>
      <c r="K50" s="177"/>
      <c r="L50" s="177"/>
      <c r="M50" s="175"/>
      <c r="N50" s="172"/>
      <c r="O50" s="177"/>
      <c r="P50" s="172"/>
      <c r="Q50" s="172"/>
      <c r="R50" s="177"/>
      <c r="S50" s="177"/>
      <c r="U50" s="168"/>
      <c r="V50" s="168"/>
      <c r="W50" s="168"/>
      <c r="X50" s="168"/>
      <c r="Z50" s="164"/>
      <c r="AA50" s="164"/>
      <c r="AB50" s="164"/>
      <c r="AC50" s="164"/>
      <c r="AD50" s="164"/>
      <c r="AE50" s="164"/>
      <c r="AF50" s="164"/>
      <c r="AG50" s="164"/>
      <c r="AH50" s="164"/>
      <c r="AI50" s="168"/>
      <c r="AJ50" s="168"/>
    </row>
    <row r="51" spans="1:36" s="83" customFormat="1" ht="66.95" customHeight="1">
      <c r="A51" s="173"/>
      <c r="B51" s="173"/>
      <c r="C51" s="173"/>
      <c r="D51" s="173"/>
      <c r="E51" s="338" t="s">
        <v>750</v>
      </c>
      <c r="F51" s="338"/>
      <c r="G51" s="338"/>
      <c r="H51" s="338"/>
      <c r="I51" s="338"/>
      <c r="J51" s="338"/>
      <c r="K51" s="338"/>
      <c r="L51" s="338"/>
      <c r="M51" s="338"/>
      <c r="N51" s="338"/>
      <c r="O51" s="338"/>
      <c r="P51" s="338"/>
      <c r="Q51" s="338"/>
      <c r="R51" s="338"/>
      <c r="S51" s="338"/>
      <c r="T51" s="338"/>
      <c r="U51" s="338"/>
      <c r="V51" s="338"/>
      <c r="W51" s="338"/>
      <c r="X51" s="338"/>
      <c r="Z51" s="164"/>
      <c r="AA51" s="164"/>
      <c r="AB51" s="164"/>
      <c r="AC51" s="164"/>
      <c r="AD51" s="164"/>
      <c r="AE51" s="164"/>
      <c r="AF51" s="164"/>
      <c r="AG51" s="164"/>
      <c r="AH51" s="164"/>
      <c r="AI51" s="168"/>
      <c r="AJ51" s="168"/>
    </row>
    <row r="52" spans="1:36" s="83" customFormat="1" ht="14.25">
      <c r="A52" s="173"/>
      <c r="B52" s="174"/>
      <c r="C52" s="174"/>
      <c r="D52" s="174"/>
      <c r="E52" s="174"/>
      <c r="F52" s="174"/>
      <c r="G52" s="174"/>
      <c r="H52" s="174"/>
      <c r="I52" s="174"/>
      <c r="J52" s="174"/>
      <c r="K52" s="174"/>
      <c r="L52" s="174"/>
      <c r="M52" s="175"/>
      <c r="N52" s="174"/>
      <c r="O52" s="174"/>
      <c r="P52" s="174"/>
      <c r="Q52" s="174"/>
      <c r="R52" s="174"/>
      <c r="S52" s="174"/>
      <c r="U52" s="168"/>
      <c r="V52" s="168"/>
      <c r="W52" s="168"/>
      <c r="X52" s="168"/>
      <c r="Z52" s="164"/>
      <c r="AA52" s="164"/>
      <c r="AB52" s="164"/>
      <c r="AC52" s="164"/>
      <c r="AD52" s="164"/>
      <c r="AE52" s="164"/>
      <c r="AF52" s="164"/>
      <c r="AG52" s="164"/>
      <c r="AH52" s="164"/>
      <c r="AI52" s="168"/>
      <c r="AJ52" s="168"/>
    </row>
    <row r="53" spans="1:36" s="83" customFormat="1" ht="14.25">
      <c r="A53" s="173"/>
      <c r="B53" s="174"/>
      <c r="C53" s="174"/>
      <c r="D53" s="178"/>
      <c r="E53" s="178"/>
      <c r="F53" s="174"/>
      <c r="G53" s="178"/>
      <c r="H53" s="211"/>
      <c r="I53" s="179"/>
      <c r="J53" s="179"/>
      <c r="K53" s="179"/>
      <c r="L53" s="179"/>
      <c r="M53" s="175"/>
      <c r="N53" s="179"/>
      <c r="O53" s="174"/>
      <c r="P53" s="174"/>
      <c r="Q53" s="174"/>
      <c r="R53" s="180"/>
      <c r="S53" s="180"/>
      <c r="U53" s="168"/>
      <c r="V53" s="168"/>
      <c r="W53" s="168"/>
      <c r="X53" s="168"/>
      <c r="Z53" s="164"/>
      <c r="AA53" s="164"/>
      <c r="AB53" s="164"/>
      <c r="AC53" s="164"/>
      <c r="AD53" s="164"/>
      <c r="AE53" s="164"/>
      <c r="AF53" s="164"/>
      <c r="AG53" s="164"/>
      <c r="AH53" s="164"/>
      <c r="AI53" s="168"/>
      <c r="AJ53" s="168"/>
    </row>
    <row r="54" spans="1:36" s="83" customFormat="1" ht="17.100000000000001" customHeight="1">
      <c r="A54" s="173"/>
      <c r="B54" s="174"/>
      <c r="C54" s="174"/>
      <c r="D54" s="178"/>
      <c r="E54" s="174"/>
      <c r="F54" s="174"/>
      <c r="G54" s="181"/>
      <c r="H54" s="181"/>
      <c r="I54" s="179"/>
      <c r="J54" s="179"/>
      <c r="K54" s="174"/>
      <c r="L54" s="174"/>
      <c r="M54" s="175"/>
      <c r="N54" s="174"/>
      <c r="O54" s="178"/>
      <c r="P54" s="178"/>
      <c r="Q54" s="179"/>
      <c r="R54" s="182"/>
      <c r="S54" s="182"/>
      <c r="U54" s="168"/>
      <c r="V54" s="168"/>
      <c r="W54" s="168"/>
      <c r="X54" s="168"/>
      <c r="Z54" s="164"/>
      <c r="AA54" s="164"/>
      <c r="AB54" s="164"/>
      <c r="AC54" s="164"/>
      <c r="AD54" s="164"/>
      <c r="AE54" s="164"/>
      <c r="AF54" s="164"/>
      <c r="AG54" s="164"/>
      <c r="AH54" s="164"/>
      <c r="AI54" s="168"/>
      <c r="AJ54" s="168"/>
    </row>
    <row r="55" spans="1:36" s="83" customFormat="1" ht="15.75">
      <c r="A55" s="173"/>
      <c r="B55" s="174"/>
      <c r="C55" s="174"/>
      <c r="D55" s="181"/>
      <c r="E55" s="174"/>
      <c r="F55" s="174"/>
      <c r="G55" s="174"/>
      <c r="H55" s="174"/>
      <c r="I55" s="179"/>
      <c r="J55" s="179"/>
      <c r="K55" s="179"/>
      <c r="L55" s="178"/>
      <c r="M55" s="175"/>
      <c r="N55" s="179"/>
      <c r="O55" s="179"/>
      <c r="P55" s="179"/>
      <c r="Q55" s="179"/>
      <c r="R55" s="179"/>
      <c r="S55" s="179"/>
      <c r="U55" s="168"/>
      <c r="V55" s="168"/>
      <c r="W55" s="168"/>
      <c r="X55" s="168"/>
      <c r="Z55" s="164"/>
      <c r="AA55" s="164"/>
      <c r="AB55" s="164"/>
      <c r="AC55" s="164"/>
      <c r="AD55" s="164"/>
      <c r="AE55" s="164"/>
      <c r="AF55" s="164"/>
      <c r="AG55" s="164"/>
      <c r="AH55" s="164"/>
      <c r="AI55" s="168"/>
      <c r="AJ55" s="168"/>
    </row>
    <row r="56" spans="1:36" s="83" customFormat="1" ht="15.75">
      <c r="A56" s="173"/>
      <c r="B56" s="174"/>
      <c r="C56" s="174"/>
      <c r="D56" s="183"/>
      <c r="E56" s="174"/>
      <c r="F56" s="174"/>
      <c r="G56" s="211"/>
      <c r="H56" s="184"/>
      <c r="I56" s="174"/>
      <c r="J56" s="174"/>
      <c r="K56" s="174"/>
      <c r="L56" s="174"/>
      <c r="M56" s="175"/>
      <c r="N56" s="174"/>
      <c r="O56" s="174"/>
      <c r="P56" s="174"/>
      <c r="Q56" s="174"/>
      <c r="R56" s="174"/>
      <c r="S56" s="174"/>
      <c r="U56" s="168"/>
      <c r="V56" s="168"/>
      <c r="W56" s="168"/>
      <c r="X56" s="168"/>
      <c r="Z56" s="164"/>
      <c r="AA56" s="164"/>
      <c r="AB56" s="164"/>
      <c r="AC56" s="164"/>
      <c r="AD56" s="164"/>
      <c r="AE56" s="164"/>
      <c r="AF56" s="164"/>
      <c r="AG56" s="164"/>
      <c r="AH56" s="164"/>
      <c r="AI56" s="168"/>
      <c r="AJ56" s="168"/>
    </row>
    <row r="57" spans="1:36" s="77" customFormat="1">
      <c r="A57" s="173"/>
      <c r="B57" s="260"/>
      <c r="C57" s="260"/>
      <c r="D57" s="260"/>
      <c r="E57" s="260"/>
      <c r="F57" s="174"/>
      <c r="G57" s="260"/>
      <c r="H57" s="260"/>
      <c r="I57" s="260"/>
      <c r="J57" s="260"/>
      <c r="K57" s="260"/>
      <c r="L57" s="260"/>
      <c r="M57" s="175"/>
      <c r="N57" s="260"/>
      <c r="O57" s="260"/>
      <c r="P57" s="260"/>
      <c r="Q57" s="260"/>
      <c r="R57" s="260"/>
      <c r="S57" s="260"/>
      <c r="U57" s="261"/>
      <c r="V57" s="261"/>
      <c r="W57" s="261"/>
      <c r="X57" s="261"/>
      <c r="Y57" s="262"/>
      <c r="Z57" s="164"/>
      <c r="AA57" s="164"/>
      <c r="AB57" s="164"/>
      <c r="AC57" s="164"/>
      <c r="AD57" s="164"/>
      <c r="AE57" s="164"/>
      <c r="AF57" s="164"/>
      <c r="AG57" s="164"/>
      <c r="AH57" s="164"/>
      <c r="AI57" s="263"/>
      <c r="AJ57" s="168"/>
    </row>
    <row r="58" spans="1:36" s="77" customFormat="1">
      <c r="A58" s="173"/>
      <c r="B58" s="260"/>
      <c r="C58" s="260"/>
      <c r="D58" s="260"/>
      <c r="E58" s="260"/>
      <c r="F58" s="174"/>
      <c r="G58" s="260"/>
      <c r="H58" s="260"/>
      <c r="I58" s="260"/>
      <c r="J58" s="260"/>
      <c r="K58" s="260"/>
      <c r="L58" s="260"/>
      <c r="M58" s="175"/>
      <c r="N58" s="260"/>
      <c r="O58" s="260"/>
      <c r="P58" s="260"/>
      <c r="Q58" s="260"/>
      <c r="R58" s="260"/>
      <c r="S58" s="260"/>
      <c r="U58" s="261"/>
      <c r="V58" s="261"/>
      <c r="W58" s="261"/>
      <c r="X58" s="261"/>
      <c r="Y58" s="262"/>
      <c r="Z58" s="164"/>
      <c r="AA58" s="164"/>
      <c r="AB58" s="164"/>
      <c r="AC58" s="164"/>
      <c r="AD58" s="164"/>
      <c r="AE58" s="164"/>
      <c r="AF58" s="164"/>
      <c r="AG58" s="164"/>
      <c r="AH58" s="164"/>
      <c r="AI58" s="263"/>
      <c r="AJ58" s="168"/>
    </row>
    <row r="59" spans="1:36" s="77" customFormat="1">
      <c r="A59" s="173"/>
      <c r="B59" s="260"/>
      <c r="C59" s="260"/>
      <c r="D59" s="260"/>
      <c r="E59" s="260"/>
      <c r="F59" s="174"/>
      <c r="G59" s="260"/>
      <c r="H59" s="260"/>
      <c r="I59" s="260"/>
      <c r="J59" s="260"/>
      <c r="K59" s="260"/>
      <c r="L59" s="260"/>
      <c r="M59" s="175"/>
      <c r="N59" s="260"/>
      <c r="O59" s="260"/>
      <c r="P59" s="260"/>
      <c r="Q59" s="260"/>
      <c r="R59" s="260"/>
      <c r="S59" s="260"/>
      <c r="U59" s="261"/>
      <c r="V59" s="261"/>
      <c r="W59" s="261"/>
      <c r="X59" s="261"/>
      <c r="Y59" s="262"/>
      <c r="Z59" s="164"/>
      <c r="AA59" s="164"/>
      <c r="AB59" s="164"/>
      <c r="AC59" s="164"/>
      <c r="AD59" s="164"/>
      <c r="AE59" s="164"/>
      <c r="AF59" s="164"/>
      <c r="AG59" s="164"/>
      <c r="AH59" s="164"/>
      <c r="AI59" s="263"/>
      <c r="AJ59" s="168"/>
    </row>
    <row r="60" spans="1:36" s="77" customFormat="1">
      <c r="A60" s="173"/>
      <c r="B60" s="260"/>
      <c r="C60" s="260"/>
      <c r="D60" s="260"/>
      <c r="E60" s="260"/>
      <c r="F60" s="174"/>
      <c r="G60" s="260"/>
      <c r="H60" s="260"/>
      <c r="I60" s="260"/>
      <c r="J60" s="260"/>
      <c r="K60" s="260"/>
      <c r="L60" s="260"/>
      <c r="M60" s="175"/>
      <c r="N60" s="260"/>
      <c r="O60" s="260"/>
      <c r="P60" s="260"/>
      <c r="Q60" s="260"/>
      <c r="R60" s="260"/>
      <c r="S60" s="260"/>
      <c r="U60" s="261"/>
      <c r="V60" s="261"/>
      <c r="W60" s="261"/>
      <c r="X60" s="261"/>
      <c r="Y60" s="262"/>
      <c r="Z60" s="164"/>
      <c r="AA60" s="164"/>
      <c r="AB60" s="164"/>
      <c r="AC60" s="164"/>
      <c r="AD60" s="164"/>
      <c r="AE60" s="164"/>
      <c r="AF60" s="164"/>
      <c r="AG60" s="164"/>
      <c r="AH60" s="164"/>
      <c r="AI60" s="263"/>
      <c r="AJ60" s="168"/>
    </row>
    <row r="61" spans="1:36" s="77" customFormat="1">
      <c r="A61" s="173"/>
      <c r="B61" s="260"/>
      <c r="C61" s="260"/>
      <c r="D61" s="260"/>
      <c r="E61" s="260"/>
      <c r="F61" s="174"/>
      <c r="G61" s="260"/>
      <c r="H61" s="260"/>
      <c r="I61" s="260"/>
      <c r="J61" s="260"/>
      <c r="K61" s="260"/>
      <c r="L61" s="260"/>
      <c r="M61" s="175"/>
      <c r="N61" s="260"/>
      <c r="O61" s="260"/>
      <c r="P61" s="260"/>
      <c r="Q61" s="260"/>
      <c r="R61" s="260"/>
      <c r="S61" s="260"/>
      <c r="U61" s="261"/>
      <c r="V61" s="261"/>
      <c r="W61" s="261"/>
      <c r="X61" s="261"/>
      <c r="Y61" s="262"/>
      <c r="Z61" s="164"/>
      <c r="AA61" s="164"/>
      <c r="AB61" s="164"/>
      <c r="AC61" s="164"/>
      <c r="AD61" s="164"/>
      <c r="AE61" s="164"/>
      <c r="AF61" s="164"/>
      <c r="AG61" s="164"/>
      <c r="AH61" s="164"/>
      <c r="AI61" s="263"/>
      <c r="AJ61" s="168"/>
    </row>
    <row r="62" spans="1:36" s="77" customFormat="1">
      <c r="A62" s="173"/>
      <c r="B62" s="260"/>
      <c r="C62" s="260"/>
      <c r="D62" s="260"/>
      <c r="E62" s="260"/>
      <c r="F62" s="174"/>
      <c r="G62" s="260"/>
      <c r="H62" s="260"/>
      <c r="I62" s="260"/>
      <c r="J62" s="260"/>
      <c r="K62" s="260"/>
      <c r="L62" s="260"/>
      <c r="M62" s="175"/>
      <c r="N62" s="260"/>
      <c r="O62" s="260"/>
      <c r="P62" s="260"/>
      <c r="Q62" s="260"/>
      <c r="R62" s="260"/>
      <c r="S62" s="260"/>
      <c r="U62" s="261"/>
      <c r="V62" s="261"/>
      <c r="W62" s="261"/>
      <c r="X62" s="261"/>
      <c r="Y62" s="262"/>
      <c r="Z62" s="164"/>
      <c r="AA62" s="164"/>
      <c r="AB62" s="164"/>
      <c r="AC62" s="164"/>
      <c r="AD62" s="164"/>
      <c r="AE62" s="164"/>
      <c r="AF62" s="164"/>
      <c r="AG62" s="164"/>
      <c r="AH62" s="164"/>
      <c r="AI62" s="263"/>
      <c r="AJ62" s="168"/>
    </row>
    <row r="63" spans="1:36" s="77" customFormat="1">
      <c r="A63" s="173"/>
      <c r="B63" s="260"/>
      <c r="C63" s="260"/>
      <c r="D63" s="260"/>
      <c r="E63" s="260"/>
      <c r="F63" s="174"/>
      <c r="G63" s="260"/>
      <c r="H63" s="260"/>
      <c r="I63" s="260"/>
      <c r="J63" s="260"/>
      <c r="K63" s="260"/>
      <c r="L63" s="260"/>
      <c r="M63" s="175"/>
      <c r="N63" s="260"/>
      <c r="O63" s="260"/>
      <c r="P63" s="260"/>
      <c r="Q63" s="260"/>
      <c r="R63" s="260"/>
      <c r="S63" s="260"/>
      <c r="U63" s="261"/>
      <c r="V63" s="261"/>
      <c r="W63" s="261"/>
      <c r="X63" s="261"/>
      <c r="Y63" s="262"/>
      <c r="Z63" s="164"/>
      <c r="AA63" s="164"/>
      <c r="AB63" s="164"/>
      <c r="AC63" s="164"/>
      <c r="AD63" s="164"/>
      <c r="AE63" s="164"/>
      <c r="AF63" s="164"/>
      <c r="AG63" s="164"/>
      <c r="AH63" s="164"/>
      <c r="AI63" s="263"/>
      <c r="AJ63" s="168"/>
    </row>
    <row r="64" spans="1:36" s="77" customFormat="1">
      <c r="A64" s="173"/>
      <c r="B64" s="260"/>
      <c r="C64" s="260"/>
      <c r="D64" s="260"/>
      <c r="E64" s="260"/>
      <c r="F64" s="174"/>
      <c r="G64" s="260"/>
      <c r="H64" s="260"/>
      <c r="I64" s="260"/>
      <c r="J64" s="260"/>
      <c r="K64" s="260"/>
      <c r="L64" s="260"/>
      <c r="M64" s="175"/>
      <c r="N64" s="260"/>
      <c r="O64" s="260"/>
      <c r="P64" s="260"/>
      <c r="Q64" s="260"/>
      <c r="R64" s="260"/>
      <c r="S64" s="260"/>
      <c r="U64" s="261"/>
      <c r="V64" s="261"/>
      <c r="W64" s="261"/>
      <c r="X64" s="261"/>
      <c r="Y64" s="262"/>
      <c r="Z64" s="164"/>
      <c r="AA64" s="164"/>
      <c r="AB64" s="164"/>
      <c r="AC64" s="164"/>
      <c r="AD64" s="164"/>
      <c r="AE64" s="164"/>
      <c r="AF64" s="164"/>
      <c r="AG64" s="164"/>
      <c r="AH64" s="164"/>
      <c r="AI64" s="263"/>
      <c r="AJ64" s="168"/>
    </row>
    <row r="65" spans="1:36" s="77" customFormat="1">
      <c r="A65" s="173"/>
      <c r="B65" s="260"/>
      <c r="C65" s="260"/>
      <c r="D65" s="260"/>
      <c r="E65" s="260"/>
      <c r="F65" s="174"/>
      <c r="G65" s="260"/>
      <c r="H65" s="260"/>
      <c r="I65" s="260"/>
      <c r="J65" s="260"/>
      <c r="K65" s="260"/>
      <c r="L65" s="260"/>
      <c r="M65" s="175"/>
      <c r="N65" s="260"/>
      <c r="O65" s="260"/>
      <c r="P65" s="260"/>
      <c r="Q65" s="260"/>
      <c r="R65" s="260"/>
      <c r="S65" s="260"/>
      <c r="U65" s="261"/>
      <c r="V65" s="261"/>
      <c r="W65" s="261"/>
      <c r="X65" s="261"/>
      <c r="Y65" s="262"/>
      <c r="Z65" s="164"/>
      <c r="AA65" s="164"/>
      <c r="AB65" s="164"/>
      <c r="AC65" s="164"/>
      <c r="AD65" s="164"/>
      <c r="AE65" s="164"/>
      <c r="AF65" s="164"/>
      <c r="AG65" s="164"/>
      <c r="AH65" s="164"/>
      <c r="AI65" s="263"/>
      <c r="AJ65" s="168"/>
    </row>
    <row r="66" spans="1:36" s="77" customFormat="1">
      <c r="A66" s="173"/>
      <c r="B66" s="260"/>
      <c r="C66" s="260"/>
      <c r="D66" s="260"/>
      <c r="E66" s="260"/>
      <c r="F66" s="174"/>
      <c r="G66" s="260"/>
      <c r="H66" s="260"/>
      <c r="I66" s="260"/>
      <c r="J66" s="260"/>
      <c r="K66" s="260"/>
      <c r="L66" s="260"/>
      <c r="M66" s="175"/>
      <c r="N66" s="260"/>
      <c r="O66" s="260"/>
      <c r="P66" s="260"/>
      <c r="Q66" s="260"/>
      <c r="R66" s="260"/>
      <c r="S66" s="260"/>
      <c r="U66" s="261"/>
      <c r="V66" s="261"/>
      <c r="W66" s="261"/>
      <c r="X66" s="261"/>
      <c r="Y66" s="262"/>
      <c r="Z66" s="164"/>
      <c r="AA66" s="164"/>
      <c r="AB66" s="164"/>
      <c r="AC66" s="164"/>
      <c r="AD66" s="164"/>
      <c r="AE66" s="164"/>
      <c r="AF66" s="164"/>
      <c r="AG66" s="164"/>
      <c r="AH66" s="164"/>
      <c r="AI66" s="263"/>
      <c r="AJ66" s="168"/>
    </row>
    <row r="67" spans="1:36" s="77" customFormat="1">
      <c r="A67" s="173"/>
      <c r="B67" s="260"/>
      <c r="C67" s="260"/>
      <c r="D67" s="260"/>
      <c r="E67" s="260"/>
      <c r="F67" s="174"/>
      <c r="G67" s="260"/>
      <c r="H67" s="260"/>
      <c r="I67" s="260"/>
      <c r="J67" s="260"/>
      <c r="K67" s="260"/>
      <c r="L67" s="260"/>
      <c r="M67" s="175"/>
      <c r="N67" s="260"/>
      <c r="O67" s="260"/>
      <c r="P67" s="260"/>
      <c r="Q67" s="260"/>
      <c r="R67" s="260"/>
      <c r="S67" s="260"/>
      <c r="U67" s="261"/>
      <c r="V67" s="261"/>
      <c r="W67" s="261"/>
      <c r="X67" s="261"/>
      <c r="Y67" s="262"/>
      <c r="Z67" s="164"/>
      <c r="AA67" s="164"/>
      <c r="AB67" s="164"/>
      <c r="AC67" s="164"/>
      <c r="AD67" s="164"/>
      <c r="AE67" s="164"/>
      <c r="AF67" s="164"/>
      <c r="AG67" s="164"/>
      <c r="AH67" s="164"/>
      <c r="AI67" s="263"/>
      <c r="AJ67" s="168"/>
    </row>
    <row r="68" spans="1:36" s="77" customFormat="1">
      <c r="A68" s="173"/>
      <c r="B68" s="260"/>
      <c r="C68" s="260"/>
      <c r="D68" s="260"/>
      <c r="E68" s="260"/>
      <c r="F68" s="174"/>
      <c r="G68" s="260"/>
      <c r="H68" s="260"/>
      <c r="I68" s="260"/>
      <c r="J68" s="260"/>
      <c r="K68" s="260"/>
      <c r="L68" s="260"/>
      <c r="M68" s="175"/>
      <c r="N68" s="260"/>
      <c r="O68" s="260"/>
      <c r="P68" s="260"/>
      <c r="Q68" s="260"/>
      <c r="R68" s="260"/>
      <c r="S68" s="260"/>
      <c r="U68" s="261"/>
      <c r="V68" s="261"/>
      <c r="W68" s="261"/>
      <c r="X68" s="261"/>
      <c r="Y68" s="262"/>
      <c r="Z68" s="164"/>
      <c r="AA68" s="164"/>
      <c r="AB68" s="164"/>
      <c r="AC68" s="164"/>
      <c r="AD68" s="164"/>
      <c r="AE68" s="164"/>
      <c r="AF68" s="164"/>
      <c r="AG68" s="164"/>
      <c r="AH68" s="164"/>
      <c r="AI68" s="263"/>
      <c r="AJ68" s="168"/>
    </row>
    <row r="69" spans="1:36" s="77" customFormat="1">
      <c r="A69" s="173"/>
      <c r="B69" s="260"/>
      <c r="C69" s="260"/>
      <c r="D69" s="260"/>
      <c r="E69" s="260"/>
      <c r="F69" s="174"/>
      <c r="G69" s="260"/>
      <c r="H69" s="260"/>
      <c r="I69" s="260"/>
      <c r="J69" s="260"/>
      <c r="K69" s="260"/>
      <c r="L69" s="260"/>
      <c r="M69" s="175"/>
      <c r="N69" s="260"/>
      <c r="O69" s="260"/>
      <c r="P69" s="260"/>
      <c r="Q69" s="260"/>
      <c r="R69" s="260"/>
      <c r="S69" s="260"/>
      <c r="U69" s="261"/>
      <c r="V69" s="261"/>
      <c r="W69" s="261"/>
      <c r="X69" s="261"/>
      <c r="Y69" s="262"/>
      <c r="Z69" s="164"/>
      <c r="AA69" s="164"/>
      <c r="AB69" s="164"/>
      <c r="AC69" s="164"/>
      <c r="AD69" s="164"/>
      <c r="AE69" s="164"/>
      <c r="AF69" s="164"/>
      <c r="AG69" s="164"/>
      <c r="AH69" s="164"/>
      <c r="AI69" s="263"/>
      <c r="AJ69" s="168"/>
    </row>
    <row r="70" spans="1:36" s="77" customFormat="1">
      <c r="A70" s="173"/>
      <c r="B70" s="260"/>
      <c r="C70" s="260"/>
      <c r="D70" s="260"/>
      <c r="E70" s="260"/>
      <c r="F70" s="174"/>
      <c r="G70" s="260"/>
      <c r="H70" s="260"/>
      <c r="I70" s="260"/>
      <c r="J70" s="260"/>
      <c r="K70" s="260"/>
      <c r="L70" s="260"/>
      <c r="M70" s="175"/>
      <c r="N70" s="260"/>
      <c r="O70" s="260"/>
      <c r="P70" s="260"/>
      <c r="Q70" s="260"/>
      <c r="R70" s="260"/>
      <c r="S70" s="260"/>
      <c r="U70" s="261"/>
      <c r="V70" s="261"/>
      <c r="W70" s="261"/>
      <c r="X70" s="261"/>
      <c r="Y70" s="262"/>
      <c r="Z70" s="164"/>
      <c r="AA70" s="164"/>
      <c r="AB70" s="164"/>
      <c r="AC70" s="164"/>
      <c r="AD70" s="164"/>
      <c r="AE70" s="164"/>
      <c r="AF70" s="164"/>
      <c r="AG70" s="164"/>
      <c r="AH70" s="164"/>
      <c r="AI70" s="263"/>
      <c r="AJ70" s="168"/>
    </row>
    <row r="71" spans="1:36" s="77" customFormat="1">
      <c r="A71" s="173"/>
      <c r="B71" s="260"/>
      <c r="C71" s="260"/>
      <c r="D71" s="260"/>
      <c r="E71" s="260"/>
      <c r="F71" s="174"/>
      <c r="G71" s="260"/>
      <c r="H71" s="260"/>
      <c r="I71" s="260"/>
      <c r="J71" s="260"/>
      <c r="K71" s="260"/>
      <c r="L71" s="260"/>
      <c r="M71" s="175"/>
      <c r="N71" s="260"/>
      <c r="O71" s="260"/>
      <c r="P71" s="260"/>
      <c r="Q71" s="260"/>
      <c r="R71" s="260"/>
      <c r="S71" s="260"/>
      <c r="U71" s="261"/>
      <c r="V71" s="261"/>
      <c r="W71" s="261"/>
      <c r="X71" s="261"/>
      <c r="Y71" s="262"/>
      <c r="Z71" s="164"/>
      <c r="AA71" s="164"/>
      <c r="AB71" s="164"/>
      <c r="AC71" s="164"/>
      <c r="AD71" s="164"/>
      <c r="AE71" s="164"/>
      <c r="AF71" s="164"/>
      <c r="AG71" s="164"/>
      <c r="AH71" s="164"/>
      <c r="AI71" s="263"/>
      <c r="AJ71" s="168"/>
    </row>
    <row r="72" spans="1:36" s="77" customFormat="1">
      <c r="A72" s="173"/>
      <c r="B72" s="260"/>
      <c r="C72" s="260"/>
      <c r="D72" s="260"/>
      <c r="E72" s="260"/>
      <c r="F72" s="174"/>
      <c r="G72" s="260"/>
      <c r="H72" s="260"/>
      <c r="I72" s="260"/>
      <c r="J72" s="260"/>
      <c r="K72" s="260"/>
      <c r="L72" s="260"/>
      <c r="M72" s="175"/>
      <c r="N72" s="260"/>
      <c r="O72" s="260"/>
      <c r="P72" s="260"/>
      <c r="Q72" s="260"/>
      <c r="R72" s="260"/>
      <c r="S72" s="260"/>
      <c r="U72" s="261"/>
      <c r="V72" s="261"/>
      <c r="W72" s="261"/>
      <c r="X72" s="261"/>
      <c r="Y72" s="262"/>
      <c r="Z72" s="164"/>
      <c r="AA72" s="164"/>
      <c r="AB72" s="164"/>
      <c r="AC72" s="164"/>
      <c r="AD72" s="164"/>
      <c r="AE72" s="164"/>
      <c r="AF72" s="164"/>
      <c r="AG72" s="164"/>
      <c r="AH72" s="164"/>
      <c r="AI72" s="263"/>
      <c r="AJ72" s="168"/>
    </row>
    <row r="73" spans="1:36" s="77" customFormat="1">
      <c r="A73" s="173"/>
      <c r="B73" s="260"/>
      <c r="C73" s="260"/>
      <c r="D73" s="260"/>
      <c r="E73" s="260"/>
      <c r="F73" s="174"/>
      <c r="G73" s="260"/>
      <c r="H73" s="260"/>
      <c r="I73" s="260"/>
      <c r="J73" s="260"/>
      <c r="K73" s="260"/>
      <c r="L73" s="260"/>
      <c r="M73" s="175"/>
      <c r="N73" s="260"/>
      <c r="O73" s="260"/>
      <c r="P73" s="260"/>
      <c r="Q73" s="260"/>
      <c r="R73" s="260"/>
      <c r="S73" s="260"/>
      <c r="U73" s="261"/>
      <c r="V73" s="261"/>
      <c r="W73" s="261"/>
      <c r="X73" s="261"/>
      <c r="Y73" s="262"/>
      <c r="Z73" s="164"/>
      <c r="AA73" s="164"/>
      <c r="AB73" s="164"/>
      <c r="AC73" s="164"/>
      <c r="AD73" s="164"/>
      <c r="AE73" s="164"/>
      <c r="AF73" s="164"/>
      <c r="AG73" s="164"/>
      <c r="AH73" s="164"/>
      <c r="AI73" s="263"/>
      <c r="AJ73" s="168"/>
    </row>
    <row r="74" spans="1:36" s="77" customFormat="1">
      <c r="A74" s="173"/>
      <c r="B74" s="260"/>
      <c r="C74" s="260"/>
      <c r="D74" s="260"/>
      <c r="E74" s="260"/>
      <c r="F74" s="174"/>
      <c r="G74" s="260"/>
      <c r="H74" s="260"/>
      <c r="I74" s="260"/>
      <c r="J74" s="260"/>
      <c r="K74" s="260"/>
      <c r="L74" s="260"/>
      <c r="M74" s="175"/>
      <c r="N74" s="260"/>
      <c r="O74" s="260"/>
      <c r="P74" s="260"/>
      <c r="Q74" s="260"/>
      <c r="R74" s="260"/>
      <c r="S74" s="260"/>
      <c r="U74" s="261"/>
      <c r="V74" s="261"/>
      <c r="W74" s="261"/>
      <c r="X74" s="261"/>
      <c r="Y74" s="262"/>
      <c r="Z74" s="164"/>
      <c r="AA74" s="164"/>
      <c r="AB74" s="164"/>
      <c r="AC74" s="164"/>
      <c r="AD74" s="164"/>
      <c r="AE74" s="164"/>
      <c r="AF74" s="164"/>
      <c r="AG74" s="164"/>
      <c r="AH74" s="164"/>
      <c r="AI74" s="263"/>
      <c r="AJ74" s="168"/>
    </row>
    <row r="75" spans="1:36" s="77" customFormat="1">
      <c r="A75" s="173"/>
      <c r="B75" s="260"/>
      <c r="C75" s="260"/>
      <c r="D75" s="260"/>
      <c r="E75" s="260"/>
      <c r="F75" s="174"/>
      <c r="G75" s="260"/>
      <c r="H75" s="260"/>
      <c r="I75" s="260"/>
      <c r="J75" s="260"/>
      <c r="K75" s="260"/>
      <c r="L75" s="260"/>
      <c r="M75" s="175"/>
      <c r="N75" s="260"/>
      <c r="O75" s="260"/>
      <c r="P75" s="260"/>
      <c r="Q75" s="260"/>
      <c r="R75" s="260"/>
      <c r="S75" s="260"/>
      <c r="U75" s="261"/>
      <c r="V75" s="261"/>
      <c r="W75" s="261"/>
      <c r="X75" s="261"/>
      <c r="Y75" s="262"/>
      <c r="Z75" s="164"/>
      <c r="AA75" s="164"/>
      <c r="AB75" s="164"/>
      <c r="AC75" s="164"/>
      <c r="AD75" s="164"/>
      <c r="AE75" s="164"/>
      <c r="AF75" s="164"/>
      <c r="AG75" s="164"/>
      <c r="AH75" s="164"/>
      <c r="AI75" s="263"/>
      <c r="AJ75" s="168"/>
    </row>
    <row r="76" spans="1:36" s="77" customFormat="1">
      <c r="A76" s="173"/>
      <c r="B76" s="260"/>
      <c r="C76" s="260"/>
      <c r="D76" s="260"/>
      <c r="E76" s="260"/>
      <c r="F76" s="174"/>
      <c r="G76" s="260"/>
      <c r="H76" s="260"/>
      <c r="I76" s="260"/>
      <c r="J76" s="260"/>
      <c r="K76" s="260"/>
      <c r="L76" s="260"/>
      <c r="M76" s="175"/>
      <c r="N76" s="260"/>
      <c r="O76" s="260"/>
      <c r="P76" s="260"/>
      <c r="Q76" s="260"/>
      <c r="R76" s="260"/>
      <c r="S76" s="260"/>
      <c r="U76" s="261"/>
      <c r="V76" s="261"/>
      <c r="W76" s="261"/>
      <c r="X76" s="261"/>
      <c r="Y76" s="262"/>
      <c r="Z76" s="164"/>
      <c r="AA76" s="164"/>
      <c r="AB76" s="164"/>
      <c r="AC76" s="164"/>
      <c r="AD76" s="164"/>
      <c r="AE76" s="164"/>
      <c r="AF76" s="164"/>
      <c r="AG76" s="164"/>
      <c r="AH76" s="164"/>
      <c r="AI76" s="263"/>
      <c r="AJ76" s="168"/>
    </row>
    <row r="77" spans="1:36" s="77" customFormat="1">
      <c r="A77" s="173"/>
      <c r="B77" s="260"/>
      <c r="C77" s="260"/>
      <c r="D77" s="260"/>
      <c r="E77" s="260"/>
      <c r="F77" s="174"/>
      <c r="G77" s="260"/>
      <c r="H77" s="260"/>
      <c r="I77" s="260"/>
      <c r="J77" s="260"/>
      <c r="K77" s="260"/>
      <c r="L77" s="260"/>
      <c r="M77" s="175"/>
      <c r="N77" s="260"/>
      <c r="O77" s="260"/>
      <c r="P77" s="260"/>
      <c r="Q77" s="260"/>
      <c r="R77" s="260"/>
      <c r="S77" s="260"/>
      <c r="U77" s="261"/>
      <c r="V77" s="261"/>
      <c r="W77" s="261"/>
      <c r="X77" s="261"/>
      <c r="Y77" s="262"/>
      <c r="Z77" s="164"/>
      <c r="AA77" s="164"/>
      <c r="AB77" s="164"/>
      <c r="AC77" s="164"/>
      <c r="AD77" s="164"/>
      <c r="AE77" s="164"/>
      <c r="AF77" s="164"/>
      <c r="AG77" s="164"/>
      <c r="AH77" s="164"/>
      <c r="AI77" s="263"/>
      <c r="AJ77" s="168"/>
    </row>
    <row r="78" spans="1:36" s="77" customFormat="1">
      <c r="A78" s="173"/>
      <c r="B78" s="260"/>
      <c r="C78" s="260"/>
      <c r="D78" s="260"/>
      <c r="E78" s="260"/>
      <c r="F78" s="174"/>
      <c r="G78" s="260"/>
      <c r="H78" s="260"/>
      <c r="I78" s="260"/>
      <c r="J78" s="260"/>
      <c r="K78" s="260"/>
      <c r="L78" s="260"/>
      <c r="M78" s="175"/>
      <c r="N78" s="260"/>
      <c r="O78" s="260"/>
      <c r="P78" s="260"/>
      <c r="Q78" s="260"/>
      <c r="R78" s="260"/>
      <c r="S78" s="260"/>
      <c r="U78" s="261"/>
      <c r="V78" s="261"/>
      <c r="W78" s="261"/>
      <c r="X78" s="261"/>
      <c r="Y78" s="262"/>
      <c r="Z78" s="164"/>
      <c r="AA78" s="164"/>
      <c r="AB78" s="164"/>
      <c r="AC78" s="164"/>
      <c r="AD78" s="164"/>
      <c r="AE78" s="164"/>
      <c r="AF78" s="164"/>
      <c r="AG78" s="164"/>
      <c r="AH78" s="164"/>
      <c r="AI78" s="263"/>
      <c r="AJ78" s="168"/>
    </row>
    <row r="79" spans="1:36" s="77" customFormat="1">
      <c r="A79" s="173"/>
      <c r="B79" s="260"/>
      <c r="C79" s="260"/>
      <c r="D79" s="260"/>
      <c r="E79" s="260"/>
      <c r="F79" s="174"/>
      <c r="G79" s="260"/>
      <c r="H79" s="260"/>
      <c r="I79" s="260"/>
      <c r="J79" s="260"/>
      <c r="K79" s="260"/>
      <c r="L79" s="260"/>
      <c r="M79" s="175"/>
      <c r="N79" s="260"/>
      <c r="O79" s="260"/>
      <c r="P79" s="260"/>
      <c r="Q79" s="260"/>
      <c r="R79" s="260"/>
      <c r="S79" s="260"/>
      <c r="U79" s="261"/>
      <c r="V79" s="261"/>
      <c r="W79" s="261"/>
      <c r="X79" s="261"/>
      <c r="Y79" s="262"/>
      <c r="Z79" s="164"/>
      <c r="AA79" s="164"/>
      <c r="AB79" s="164"/>
      <c r="AC79" s="164"/>
      <c r="AD79" s="164"/>
      <c r="AE79" s="164"/>
      <c r="AF79" s="164"/>
      <c r="AG79" s="164"/>
      <c r="AH79" s="164"/>
      <c r="AI79" s="263"/>
      <c r="AJ79" s="168"/>
    </row>
    <row r="80" spans="1:36" s="77" customFormat="1">
      <c r="A80" s="173"/>
      <c r="B80" s="260"/>
      <c r="C80" s="260"/>
      <c r="D80" s="260"/>
      <c r="E80" s="260"/>
      <c r="F80" s="174"/>
      <c r="G80" s="260"/>
      <c r="H80" s="260"/>
      <c r="I80" s="260"/>
      <c r="J80" s="260"/>
      <c r="K80" s="260"/>
      <c r="L80" s="260"/>
      <c r="M80" s="175"/>
      <c r="N80" s="260"/>
      <c r="O80" s="260"/>
      <c r="P80" s="260"/>
      <c r="Q80" s="260"/>
      <c r="R80" s="260"/>
      <c r="S80" s="260"/>
      <c r="U80" s="261"/>
      <c r="V80" s="261"/>
      <c r="W80" s="261"/>
      <c r="X80" s="261"/>
      <c r="Y80" s="262"/>
      <c r="Z80" s="164"/>
      <c r="AA80" s="164"/>
      <c r="AB80" s="164"/>
      <c r="AC80" s="164"/>
      <c r="AD80" s="164"/>
      <c r="AE80" s="164"/>
      <c r="AF80" s="164"/>
      <c r="AG80" s="164"/>
      <c r="AH80" s="164"/>
      <c r="AI80" s="263"/>
      <c r="AJ80" s="168"/>
    </row>
    <row r="81" spans="1:36" s="77" customFormat="1">
      <c r="A81" s="173"/>
      <c r="B81" s="260"/>
      <c r="C81" s="260"/>
      <c r="D81" s="260"/>
      <c r="E81" s="260"/>
      <c r="F81" s="174"/>
      <c r="G81" s="260"/>
      <c r="H81" s="260"/>
      <c r="I81" s="260"/>
      <c r="J81" s="260"/>
      <c r="K81" s="260"/>
      <c r="L81" s="260"/>
      <c r="M81" s="175"/>
      <c r="N81" s="260"/>
      <c r="O81" s="260"/>
      <c r="P81" s="260"/>
      <c r="Q81" s="260"/>
      <c r="R81" s="260"/>
      <c r="S81" s="260"/>
      <c r="U81" s="261"/>
      <c r="V81" s="261"/>
      <c r="W81" s="261"/>
      <c r="X81" s="261"/>
      <c r="Y81" s="262"/>
      <c r="Z81" s="164"/>
      <c r="AA81" s="164"/>
      <c r="AB81" s="164"/>
      <c r="AC81" s="164"/>
      <c r="AD81" s="164"/>
      <c r="AE81" s="164"/>
      <c r="AF81" s="164"/>
      <c r="AG81" s="164"/>
      <c r="AH81" s="164"/>
      <c r="AI81" s="263"/>
      <c r="AJ81" s="168"/>
    </row>
    <row r="82" spans="1:36" s="77" customFormat="1">
      <c r="A82" s="173"/>
      <c r="B82" s="260"/>
      <c r="C82" s="260"/>
      <c r="D82" s="260"/>
      <c r="E82" s="260"/>
      <c r="F82" s="174"/>
      <c r="G82" s="260"/>
      <c r="H82" s="260"/>
      <c r="I82" s="260"/>
      <c r="J82" s="260"/>
      <c r="K82" s="260"/>
      <c r="L82" s="260"/>
      <c r="M82" s="175"/>
      <c r="N82" s="260"/>
      <c r="O82" s="260"/>
      <c r="P82" s="260"/>
      <c r="Q82" s="260"/>
      <c r="R82" s="260"/>
      <c r="S82" s="260"/>
      <c r="U82" s="261"/>
      <c r="V82" s="261"/>
      <c r="W82" s="261"/>
      <c r="X82" s="261"/>
      <c r="Y82" s="262"/>
      <c r="Z82" s="164"/>
      <c r="AA82" s="164"/>
      <c r="AB82" s="164"/>
      <c r="AC82" s="164"/>
      <c r="AD82" s="164"/>
      <c r="AE82" s="164"/>
      <c r="AF82" s="164"/>
      <c r="AG82" s="164"/>
      <c r="AH82" s="164"/>
      <c r="AI82" s="263"/>
      <c r="AJ82" s="168"/>
    </row>
    <row r="83" spans="1:36" s="77" customFormat="1">
      <c r="A83" s="173"/>
      <c r="B83" s="260"/>
      <c r="C83" s="260"/>
      <c r="D83" s="260"/>
      <c r="E83" s="260"/>
      <c r="F83" s="174"/>
      <c r="G83" s="260"/>
      <c r="H83" s="260"/>
      <c r="I83" s="260"/>
      <c r="J83" s="260"/>
      <c r="K83" s="260"/>
      <c r="L83" s="260"/>
      <c r="M83" s="175"/>
      <c r="N83" s="260"/>
      <c r="O83" s="260"/>
      <c r="P83" s="260"/>
      <c r="Q83" s="260"/>
      <c r="R83" s="260"/>
      <c r="S83" s="260"/>
      <c r="U83" s="261"/>
      <c r="V83" s="261"/>
      <c r="W83" s="261"/>
      <c r="X83" s="261"/>
      <c r="Y83" s="262"/>
      <c r="Z83" s="164"/>
      <c r="AA83" s="164"/>
      <c r="AB83" s="164"/>
      <c r="AC83" s="164"/>
      <c r="AD83" s="164"/>
      <c r="AE83" s="164"/>
      <c r="AF83" s="164"/>
      <c r="AG83" s="164"/>
      <c r="AH83" s="164"/>
      <c r="AI83" s="263"/>
      <c r="AJ83" s="168"/>
    </row>
    <row r="84" spans="1:36" s="77" customFormat="1">
      <c r="A84" s="173"/>
      <c r="B84" s="260"/>
      <c r="C84" s="260"/>
      <c r="D84" s="260"/>
      <c r="E84" s="260"/>
      <c r="F84" s="174"/>
      <c r="G84" s="260"/>
      <c r="H84" s="260"/>
      <c r="I84" s="260"/>
      <c r="J84" s="260"/>
      <c r="K84" s="260"/>
      <c r="L84" s="260"/>
      <c r="M84" s="175"/>
      <c r="N84" s="260"/>
      <c r="O84" s="260"/>
      <c r="P84" s="260"/>
      <c r="Q84" s="260"/>
      <c r="R84" s="260"/>
      <c r="S84" s="260"/>
      <c r="U84" s="261"/>
      <c r="V84" s="261"/>
      <c r="W84" s="261"/>
      <c r="X84" s="261"/>
      <c r="Y84" s="262"/>
      <c r="Z84" s="164"/>
      <c r="AA84" s="164"/>
      <c r="AB84" s="164"/>
      <c r="AC84" s="164"/>
      <c r="AD84" s="164"/>
      <c r="AE84" s="164"/>
      <c r="AF84" s="164"/>
      <c r="AG84" s="164"/>
      <c r="AH84" s="164"/>
      <c r="AI84" s="263"/>
      <c r="AJ84" s="168"/>
    </row>
    <row r="85" spans="1:36" s="77" customFormat="1">
      <c r="A85" s="173"/>
      <c r="B85" s="260"/>
      <c r="C85" s="260"/>
      <c r="D85" s="260"/>
      <c r="E85" s="260"/>
      <c r="F85" s="174"/>
      <c r="G85" s="260"/>
      <c r="H85" s="260"/>
      <c r="I85" s="260"/>
      <c r="J85" s="260"/>
      <c r="K85" s="260"/>
      <c r="L85" s="260"/>
      <c r="M85" s="175"/>
      <c r="N85" s="260"/>
      <c r="O85" s="260"/>
      <c r="P85" s="260"/>
      <c r="Q85" s="260"/>
      <c r="R85" s="260"/>
      <c r="S85" s="260"/>
      <c r="U85" s="261"/>
      <c r="V85" s="261"/>
      <c r="W85" s="261"/>
      <c r="X85" s="261"/>
      <c r="Y85" s="262"/>
      <c r="Z85" s="164"/>
      <c r="AA85" s="164"/>
      <c r="AB85" s="164"/>
      <c r="AC85" s="164"/>
      <c r="AD85" s="164"/>
      <c r="AE85" s="164"/>
      <c r="AF85" s="164"/>
      <c r="AG85" s="164"/>
      <c r="AH85" s="164"/>
      <c r="AI85" s="263"/>
      <c r="AJ85" s="168"/>
    </row>
    <row r="86" spans="1:36">
      <c r="AJ86" s="167" t="str">
        <f>IF(Z86="","","No. "&amp;_xlfn.TEXTJOIN(", ",TRUE,Z86:AC86)&amp;")")</f>
        <v/>
      </c>
    </row>
  </sheetData>
  <mergeCells count="31">
    <mergeCell ref="A6:D6"/>
    <mergeCell ref="A7:D7"/>
    <mergeCell ref="M3:N3"/>
    <mergeCell ref="M4:N4"/>
    <mergeCell ref="E6:O6"/>
    <mergeCell ref="E7:O7"/>
    <mergeCell ref="E8:O8"/>
    <mergeCell ref="E9:O9"/>
    <mergeCell ref="P6:X6"/>
    <mergeCell ref="P7:X7"/>
    <mergeCell ref="P8:X8"/>
    <mergeCell ref="P9:X9"/>
    <mergeCell ref="A10:D10"/>
    <mergeCell ref="A11:D11"/>
    <mergeCell ref="E11:X11"/>
    <mergeCell ref="A13:D13"/>
    <mergeCell ref="E13:X13"/>
    <mergeCell ref="E19:X19"/>
    <mergeCell ref="A47:D47"/>
    <mergeCell ref="E47:X47"/>
    <mergeCell ref="A15:D15"/>
    <mergeCell ref="E15:X15"/>
    <mergeCell ref="A17:D17"/>
    <mergeCell ref="E17:X17"/>
    <mergeCell ref="A19:D19"/>
    <mergeCell ref="E49:X49"/>
    <mergeCell ref="E51:X51"/>
    <mergeCell ref="A33:D33"/>
    <mergeCell ref="E33:X33"/>
    <mergeCell ref="A38:D38"/>
    <mergeCell ref="E38:X38"/>
  </mergeCells>
  <phoneticPr fontId="2" type="noConversion"/>
  <printOptions horizontalCentered="1" verticalCentered="1"/>
  <pageMargins left="0.19685039370078741" right="0.19685039370078741" top="0.39370078740157483" bottom="0.39370078740157483" header="0.31496062992125984" footer="0.31496062992125984"/>
  <pageSetup paperSize="9" scale="74"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32144-6922-4DA7-A58C-7B2FFA5B3A5C}">
  <sheetPr codeName="工作表4">
    <tabColor rgb="FFFF0000"/>
  </sheetPr>
  <dimension ref="A1:BT64"/>
  <sheetViews>
    <sheetView view="pageBreakPreview" topLeftCell="A3" zoomScaleNormal="100" zoomScaleSheetLayoutView="100" workbookViewId="0">
      <selection activeCell="AP12" sqref="AP12"/>
    </sheetView>
  </sheetViews>
  <sheetFormatPr defaultColWidth="8.75" defaultRowHeight="14.25"/>
  <cols>
    <col min="1" max="23" width="3.375" style="73" customWidth="1"/>
    <col min="24" max="24" width="2" style="73" customWidth="1"/>
    <col min="25" max="34" width="4.625" style="79" customWidth="1"/>
    <col min="35" max="35" width="3.5" style="77" customWidth="1"/>
    <col min="36" max="36" width="9.125" style="77" hidden="1" customWidth="1"/>
    <col min="37" max="37" width="3.25" style="77" hidden="1" customWidth="1"/>
    <col min="38" max="46" width="4.625" style="79" customWidth="1"/>
    <col min="47" max="52" width="4.625" style="77" customWidth="1"/>
    <col min="53" max="53" width="3.625" style="77" customWidth="1"/>
    <col min="54" max="54" width="4" style="77" customWidth="1"/>
    <col min="55" max="55" width="4.875" style="77" customWidth="1"/>
    <col min="56" max="56" width="3.25" style="77" customWidth="1"/>
    <col min="57" max="57" width="4.5" style="77" customWidth="1"/>
    <col min="58" max="72" width="5.625" style="77" customWidth="1"/>
    <col min="73" max="76" width="5.625" style="73" customWidth="1"/>
    <col min="77" max="82" width="2.5" style="73" customWidth="1"/>
    <col min="83" max="16384" width="8.75" style="73"/>
  </cols>
  <sheetData>
    <row r="1" spans="1:72" ht="15.95" customHeight="1"/>
    <row r="2" spans="1:72" ht="15.95" customHeight="1">
      <c r="J2" s="74"/>
      <c r="K2" s="74"/>
      <c r="L2" s="74"/>
      <c r="M2" s="74"/>
      <c r="N2" s="74"/>
      <c r="O2" s="74"/>
      <c r="P2" s="74"/>
      <c r="Q2" s="74"/>
      <c r="R2" s="74"/>
      <c r="S2" s="74"/>
      <c r="T2" s="74"/>
      <c r="U2" s="74"/>
      <c r="V2" s="74"/>
      <c r="W2" s="74"/>
    </row>
    <row r="3" spans="1:72" ht="15.95" customHeight="1">
      <c r="J3" s="75"/>
      <c r="K3" s="75"/>
      <c r="L3" s="75"/>
      <c r="M3" s="109"/>
      <c r="N3" s="75"/>
      <c r="O3" s="75"/>
      <c r="P3" s="75"/>
      <c r="Q3" s="75"/>
      <c r="R3" s="75"/>
      <c r="S3" s="109"/>
      <c r="T3" s="75"/>
      <c r="U3" s="75"/>
      <c r="V3" s="75"/>
      <c r="W3" s="75"/>
    </row>
    <row r="4" spans="1:72" ht="15.95" customHeight="1" thickBot="1">
      <c r="J4" s="75"/>
      <c r="K4" s="75"/>
      <c r="L4" s="75"/>
      <c r="M4" s="109"/>
      <c r="N4" s="75"/>
      <c r="O4" s="75"/>
      <c r="P4" s="75"/>
      <c r="Q4" s="75"/>
      <c r="R4" s="75"/>
      <c r="S4" s="109"/>
      <c r="T4" s="75"/>
      <c r="U4" s="75"/>
      <c r="V4" s="75"/>
      <c r="W4" s="75"/>
      <c r="AU4" s="79"/>
      <c r="AV4" s="79"/>
      <c r="AW4" s="79"/>
      <c r="AX4" s="79"/>
      <c r="AY4" s="79"/>
      <c r="AZ4" s="79"/>
      <c r="BA4" s="79"/>
      <c r="BB4" s="79"/>
      <c r="BC4" s="79"/>
      <c r="BD4" s="79"/>
      <c r="BE4" s="79"/>
      <c r="BF4" s="79"/>
      <c r="BG4" s="79"/>
      <c r="BH4" s="79"/>
      <c r="BI4" s="79"/>
      <c r="BJ4" s="79"/>
      <c r="BK4" s="79"/>
      <c r="BL4" s="79"/>
      <c r="BM4" s="79"/>
      <c r="BN4" s="79"/>
      <c r="BO4" s="79"/>
      <c r="BP4" s="79"/>
      <c r="BQ4" s="76"/>
      <c r="BR4" s="76"/>
      <c r="BS4" s="76"/>
      <c r="BT4" s="76"/>
    </row>
    <row r="5" spans="1:72" ht="15.95" customHeight="1" thickBot="1">
      <c r="A5" s="303" t="s">
        <v>334</v>
      </c>
      <c r="B5" s="303"/>
      <c r="C5" s="303"/>
      <c r="D5" s="303"/>
      <c r="E5" s="303"/>
      <c r="F5" s="303"/>
      <c r="G5" s="303"/>
      <c r="H5" s="303"/>
      <c r="I5" s="303"/>
      <c r="J5" s="303"/>
      <c r="K5" s="303"/>
      <c r="L5" s="303"/>
      <c r="M5" s="303"/>
      <c r="N5" s="303"/>
      <c r="O5" s="303"/>
      <c r="P5" s="303"/>
      <c r="Q5" s="303"/>
      <c r="R5" s="303"/>
      <c r="S5" s="303"/>
      <c r="T5" s="303"/>
      <c r="U5" s="303"/>
      <c r="V5" s="303"/>
      <c r="W5" s="303"/>
      <c r="AL5" s="353" t="s">
        <v>331</v>
      </c>
      <c r="AM5" s="354"/>
      <c r="AN5" s="356"/>
      <c r="AO5" s="357" t="s">
        <v>332</v>
      </c>
      <c r="AP5" s="358"/>
      <c r="AQ5" s="359"/>
      <c r="AR5" s="199" t="s">
        <v>315</v>
      </c>
      <c r="AS5" s="199" t="s">
        <v>316</v>
      </c>
      <c r="AT5" s="360" t="s">
        <v>314</v>
      </c>
      <c r="AU5" s="353" t="s">
        <v>326</v>
      </c>
      <c r="AV5" s="354"/>
      <c r="AW5" s="354"/>
      <c r="AX5" s="354"/>
      <c r="AY5" s="355"/>
      <c r="AZ5" s="76"/>
      <c r="BA5" s="76"/>
      <c r="BB5" s="79"/>
      <c r="BC5" s="79"/>
      <c r="BD5" s="79"/>
      <c r="BE5" s="76"/>
      <c r="BF5" s="76"/>
      <c r="BG5" s="76"/>
      <c r="BH5" s="76"/>
      <c r="BI5" s="85"/>
      <c r="BJ5" s="85"/>
      <c r="BK5" s="85"/>
      <c r="BL5" s="85"/>
      <c r="BM5" s="85"/>
      <c r="BN5" s="85"/>
      <c r="BO5" s="85"/>
      <c r="BP5" s="78"/>
      <c r="BQ5" s="78"/>
      <c r="BR5" s="78"/>
      <c r="BS5" s="79"/>
      <c r="BT5" s="79"/>
    </row>
    <row r="6" spans="1:72" ht="15.95" customHeight="1" thickBot="1">
      <c r="A6" s="76"/>
      <c r="B6" s="76"/>
      <c r="C6" s="76"/>
      <c r="D6" s="76"/>
      <c r="E6" s="76"/>
      <c r="F6" s="76"/>
      <c r="G6" s="76"/>
      <c r="H6" s="76"/>
      <c r="I6" s="76"/>
      <c r="J6" s="76"/>
      <c r="K6" s="76"/>
      <c r="L6" s="76"/>
      <c r="M6" s="76"/>
      <c r="N6" s="76"/>
      <c r="O6" s="76"/>
      <c r="P6" s="76"/>
      <c r="Q6" s="76"/>
      <c r="R6" s="76"/>
      <c r="S6" s="76"/>
      <c r="T6" s="76"/>
      <c r="U6" s="76"/>
      <c r="V6" s="76"/>
      <c r="W6" s="76"/>
      <c r="X6" s="77"/>
      <c r="Y6" s="188" t="s">
        <v>306</v>
      </c>
      <c r="Z6" s="188" t="s">
        <v>292</v>
      </c>
      <c r="AA6" s="188" t="s">
        <v>293</v>
      </c>
      <c r="AB6" s="188" t="s">
        <v>294</v>
      </c>
      <c r="AC6" s="188" t="s">
        <v>295</v>
      </c>
      <c r="AD6" s="188" t="s">
        <v>296</v>
      </c>
      <c r="AE6" s="188" t="s">
        <v>297</v>
      </c>
      <c r="AF6" s="188" t="s">
        <v>298</v>
      </c>
      <c r="AG6" s="189" t="s">
        <v>299</v>
      </c>
      <c r="AH6" s="189" t="s">
        <v>309</v>
      </c>
      <c r="AI6" s="120"/>
      <c r="AJ6" s="187" t="s">
        <v>313</v>
      </c>
      <c r="AK6" s="185"/>
      <c r="AL6" s="191" t="s">
        <v>315</v>
      </c>
      <c r="AM6" s="192" t="s">
        <v>316</v>
      </c>
      <c r="AN6" s="193" t="s">
        <v>311</v>
      </c>
      <c r="AO6" s="200" t="s">
        <v>328</v>
      </c>
      <c r="AP6" s="200" t="s">
        <v>329</v>
      </c>
      <c r="AQ6" s="200" t="s">
        <v>330</v>
      </c>
      <c r="AR6" s="208" t="s">
        <v>544</v>
      </c>
      <c r="AS6" s="208" t="s">
        <v>544</v>
      </c>
      <c r="AT6" s="361"/>
      <c r="AU6" s="191" t="s">
        <v>315</v>
      </c>
      <c r="AV6" s="192" t="s">
        <v>316</v>
      </c>
      <c r="AW6" s="194" t="s">
        <v>318</v>
      </c>
      <c r="AX6" s="194" t="s">
        <v>319</v>
      </c>
      <c r="AY6" s="193" t="s">
        <v>324</v>
      </c>
      <c r="AZ6" s="79"/>
      <c r="BA6" s="79"/>
      <c r="BB6" s="79"/>
      <c r="BC6" s="79"/>
      <c r="BD6" s="79"/>
      <c r="BE6" s="76"/>
      <c r="BF6" s="76"/>
      <c r="BG6" s="76"/>
      <c r="BH6" s="76"/>
      <c r="BI6" s="76"/>
      <c r="BJ6" s="76"/>
      <c r="BK6" s="79"/>
      <c r="BL6" s="79"/>
      <c r="BM6" s="79"/>
      <c r="BN6" s="79"/>
      <c r="BO6" s="79"/>
      <c r="BP6" s="79"/>
      <c r="BQ6" s="79"/>
      <c r="BR6" s="79"/>
      <c r="BS6" s="76"/>
      <c r="BT6" s="76"/>
    </row>
    <row r="7" spans="1:72" s="86" customFormat="1" ht="15.95" customHeight="1">
      <c r="A7" s="349" t="s">
        <v>89</v>
      </c>
      <c r="B7" s="349"/>
      <c r="C7" s="349"/>
      <c r="D7" s="349"/>
      <c r="E7" s="351" t="s">
        <v>91</v>
      </c>
      <c r="F7" s="351"/>
      <c r="G7" s="351"/>
      <c r="H7" s="351"/>
      <c r="I7" s="351"/>
      <c r="J7" s="351"/>
      <c r="K7" s="351"/>
      <c r="L7" s="351"/>
      <c r="M7" s="351"/>
      <c r="N7" s="351"/>
      <c r="O7" s="351"/>
      <c r="P7" s="351"/>
      <c r="Q7" s="351"/>
      <c r="R7" s="351" t="s">
        <v>90</v>
      </c>
      <c r="S7" s="351"/>
      <c r="T7" s="351"/>
      <c r="U7" s="351"/>
      <c r="V7" s="83"/>
      <c r="W7" s="83"/>
      <c r="X7" s="83"/>
      <c r="Y7" s="186" t="s">
        <v>327</v>
      </c>
      <c r="Z7" s="186" t="s">
        <v>302</v>
      </c>
      <c r="AA7" s="186" t="s">
        <v>301</v>
      </c>
      <c r="AB7" s="186" t="s">
        <v>300</v>
      </c>
      <c r="AC7" s="157" t="s">
        <v>303</v>
      </c>
      <c r="AD7" s="157" t="s">
        <v>304</v>
      </c>
      <c r="AE7" s="157" t="s">
        <v>305</v>
      </c>
      <c r="AF7" s="157" t="s">
        <v>307</v>
      </c>
      <c r="AG7" s="157" t="s">
        <v>308</v>
      </c>
      <c r="AH7" s="157" t="s">
        <v>310</v>
      </c>
      <c r="AI7" s="83"/>
      <c r="AJ7" s="83"/>
      <c r="AK7" s="83"/>
      <c r="AL7" s="195" t="str">
        <f>"at eye packing "&amp;裝船表格!I23&amp;" sheet."</f>
        <v>at eye packing moisture-resistance sheet.</v>
      </c>
      <c r="AM7" s="195" t="str">
        <f>"on outer packing "&amp;裝船表格!I23&amp;" sheet."</f>
        <v>on outer packing moisture-resistance sheet.</v>
      </c>
      <c r="AN7" s="195" t="str">
        <f>"at one side packing "&amp;裝船表格!I23&amp;" sheet."</f>
        <v>at one side packing moisture-resistance sheet.</v>
      </c>
      <c r="AO7" s="195" t="str">
        <f>"on outer packing "&amp;裝船表格!I23&amp;" sheet's upper part."</f>
        <v>on outer packing moisture-resistance sheet's upper part.</v>
      </c>
      <c r="AP7" s="195" t="str">
        <f>"on outer packing "&amp;裝船表格!I23&amp;" sheet's lower part."</f>
        <v>on outer packing moisture-resistance sheet's lower part.</v>
      </c>
      <c r="AQ7" s="190" t="str">
        <f>"on outer packing "&amp;裝船表格!I23&amp;" sheet's lower edget."</f>
        <v>on outer packing moisture-resistance sheet's lower edget.</v>
      </c>
      <c r="AR7" s="190" t="s">
        <v>545</v>
      </c>
      <c r="AS7" s="190" t="s">
        <v>543</v>
      </c>
      <c r="AT7" s="196" t="s">
        <v>317</v>
      </c>
      <c r="AU7" s="195" t="s">
        <v>323</v>
      </c>
      <c r="AV7" s="195" t="s">
        <v>322</v>
      </c>
      <c r="AW7" s="195" t="s">
        <v>320</v>
      </c>
      <c r="AX7" s="196" t="s">
        <v>321</v>
      </c>
      <c r="AY7" s="196" t="s">
        <v>325</v>
      </c>
      <c r="AZ7" s="83"/>
      <c r="BA7" s="83"/>
      <c r="BB7" s="157"/>
      <c r="BC7" s="82"/>
      <c r="BD7" s="83"/>
      <c r="BE7" s="88"/>
      <c r="BF7" s="88"/>
      <c r="BG7" s="88"/>
      <c r="BH7" s="88"/>
      <c r="BI7" s="88"/>
      <c r="BJ7" s="88"/>
      <c r="BK7" s="88"/>
      <c r="BL7" s="83"/>
      <c r="BM7" s="83"/>
      <c r="BN7" s="83"/>
      <c r="BO7" s="83"/>
      <c r="BP7" s="83"/>
      <c r="BQ7" s="83"/>
      <c r="BR7" s="83"/>
      <c r="BS7" s="83"/>
      <c r="BT7" s="83"/>
    </row>
    <row r="8" spans="1:72" s="86" customFormat="1" ht="15.95" customHeight="1">
      <c r="A8" s="349">
        <v>4455599</v>
      </c>
      <c r="B8" s="349"/>
      <c r="C8" s="349"/>
      <c r="D8" s="349"/>
      <c r="E8" s="350" t="str">
        <f>IF(A8="","",W8)</f>
        <v>Partly broken on outer packing moisture-resistance sheet.</v>
      </c>
      <c r="F8" s="350"/>
      <c r="G8" s="350"/>
      <c r="H8" s="350"/>
      <c r="I8" s="350"/>
      <c r="J8" s="350"/>
      <c r="K8" s="350"/>
      <c r="L8" s="350"/>
      <c r="M8" s="350"/>
      <c r="N8" s="350"/>
      <c r="O8" s="350"/>
      <c r="P8" s="350"/>
      <c r="Q8" s="350"/>
      <c r="R8" s="349"/>
      <c r="S8" s="349"/>
      <c r="T8" s="349"/>
      <c r="U8" s="349"/>
      <c r="V8" s="83"/>
      <c r="W8" s="83" t="str">
        <f>"Partly "&amp;_xlfn.TEXTJOIN(", ",TRUE,BE8:BM8)&amp;AJ8&amp;_xlfn.TEXTJOIN(" Or ",TRUE,BA8:BC8)</f>
        <v>Partly broken on outer packing moisture-resistance sheet.</v>
      </c>
      <c r="X8" s="83"/>
      <c r="Y8" s="160"/>
      <c r="Z8" s="160" t="s">
        <v>312</v>
      </c>
      <c r="AA8" s="160"/>
      <c r="AB8" s="161"/>
      <c r="AC8" s="160"/>
      <c r="AD8" s="160"/>
      <c r="AE8" s="160"/>
      <c r="AF8" s="160"/>
      <c r="AG8" s="160"/>
      <c r="AH8" s="160"/>
      <c r="AI8" s="163"/>
      <c r="AJ8" s="163" t="s">
        <v>333</v>
      </c>
      <c r="AK8" s="163"/>
      <c r="AL8" s="160"/>
      <c r="AM8" s="160" t="s">
        <v>312</v>
      </c>
      <c r="AN8" s="160"/>
      <c r="AO8" s="160"/>
      <c r="AP8" s="160"/>
      <c r="AQ8" s="160"/>
      <c r="AR8" s="160"/>
      <c r="AS8" s="160"/>
      <c r="AT8" s="160"/>
      <c r="AU8" s="160"/>
      <c r="AV8" s="160"/>
      <c r="AW8" s="160"/>
      <c r="AX8" s="160"/>
      <c r="AY8" s="160"/>
      <c r="AZ8" s="163"/>
      <c r="BA8" s="163" t="str" cm="1">
        <f t="array" ref="BA8">_xlfn._xlws.FILTER($AL$7:$AY$7,AL8:AY8= "V")</f>
        <v>on outer packing moisture-resistance sheet.</v>
      </c>
      <c r="BB8" s="157"/>
      <c r="BC8" s="82"/>
      <c r="BD8" s="83"/>
      <c r="BE8" s="88"/>
      <c r="BF8" s="88" t="str" cm="1">
        <f t="array" ref="BF8">_xlfn._xlws.FILTER($Y$7:$AH$7,Y8:AH8= "V")</f>
        <v>broken</v>
      </c>
      <c r="BG8" s="88"/>
      <c r="BH8" s="88"/>
      <c r="BI8" s="88"/>
      <c r="BJ8" s="88"/>
      <c r="BK8" s="88"/>
      <c r="BL8" s="83"/>
      <c r="BM8" s="83"/>
      <c r="BN8" s="83"/>
      <c r="BO8" s="83"/>
      <c r="BP8" s="83"/>
      <c r="BQ8" s="83"/>
      <c r="BR8" s="83"/>
      <c r="BS8" s="83"/>
      <c r="BT8" s="83"/>
    </row>
    <row r="9" spans="1:72" s="86" customFormat="1" ht="23.45" customHeight="1">
      <c r="A9" s="349">
        <v>14414</v>
      </c>
      <c r="B9" s="349"/>
      <c r="C9" s="349"/>
      <c r="D9" s="349"/>
      <c r="E9" s="350" t="str">
        <f t="shared" ref="E9:E24" si="0">IF(A9="","",W9)</f>
        <v>Partly broken, bent, wrinkled at one side packing moisture-resistance sheet. Or at one side edge of inner windings.</v>
      </c>
      <c r="F9" s="350"/>
      <c r="G9" s="350"/>
      <c r="H9" s="350"/>
      <c r="I9" s="350"/>
      <c r="J9" s="350"/>
      <c r="K9" s="350"/>
      <c r="L9" s="350"/>
      <c r="M9" s="350"/>
      <c r="N9" s="350"/>
      <c r="O9" s="350"/>
      <c r="P9" s="350"/>
      <c r="Q9" s="350"/>
      <c r="R9" s="349"/>
      <c r="S9" s="349"/>
      <c r="T9" s="349"/>
      <c r="U9" s="349"/>
      <c r="V9" s="83"/>
      <c r="W9" s="83" t="str">
        <f t="shared" ref="W9:W24" si="1">"Partly "&amp;_xlfn.TEXTJOIN(", ",TRUE,BE9:BM9)&amp;AJ9&amp;_xlfn.TEXTJOIN(" Or ",TRUE,BA9:BC9)</f>
        <v>Partly broken, bent, wrinkled at one side packing moisture-resistance sheet. Or at one side edge of inner windings.</v>
      </c>
      <c r="X9" s="83"/>
      <c r="Y9" s="160"/>
      <c r="Z9" s="160" t="s">
        <v>312</v>
      </c>
      <c r="AA9" s="160" t="s">
        <v>312</v>
      </c>
      <c r="AB9" s="161"/>
      <c r="AC9" s="160"/>
      <c r="AD9" s="160" t="s">
        <v>312</v>
      </c>
      <c r="AE9" s="160"/>
      <c r="AF9" s="160"/>
      <c r="AG9" s="160"/>
      <c r="AH9" s="160"/>
      <c r="AI9" s="163"/>
      <c r="AJ9" s="163" t="s">
        <v>333</v>
      </c>
      <c r="AK9" s="163"/>
      <c r="AL9" s="160"/>
      <c r="AM9" s="160"/>
      <c r="AN9" s="160" t="s">
        <v>312</v>
      </c>
      <c r="AO9" s="160"/>
      <c r="AP9" s="160"/>
      <c r="AQ9" s="160"/>
      <c r="AR9" s="160"/>
      <c r="AS9" s="160"/>
      <c r="AT9" s="160"/>
      <c r="AU9" s="160"/>
      <c r="AV9" s="160"/>
      <c r="AW9" s="160" t="s">
        <v>312</v>
      </c>
      <c r="AX9" s="160"/>
      <c r="AY9" s="160"/>
      <c r="AZ9" s="163"/>
      <c r="BA9" s="163" t="str" cm="1">
        <f t="array" ref="BA9:BB9">_xlfn._xlws.FILTER($AL$7:$AY$7,AL9:AY9= "V")</f>
        <v>at one side packing moisture-resistance sheet.</v>
      </c>
      <c r="BB9" s="157" t="str">
        <v>at one side edge of inner windings.</v>
      </c>
      <c r="BC9" s="157"/>
      <c r="BD9" s="83"/>
      <c r="BE9" s="159"/>
      <c r="BF9" s="159" t="str" cm="1">
        <f t="array" ref="BF9:BH9">_xlfn._xlws.FILTER($Y$7:$AH$7,Y9:AH9= "V")</f>
        <v>broken</v>
      </c>
      <c r="BG9" s="88" t="str">
        <v>bent</v>
      </c>
      <c r="BH9" s="88" t="str">
        <v>wrinkled</v>
      </c>
      <c r="BI9" s="88"/>
      <c r="BJ9" s="88"/>
      <c r="BK9" s="88"/>
      <c r="BL9" s="83"/>
      <c r="BM9" s="83"/>
      <c r="BN9" s="83"/>
      <c r="BO9" s="83"/>
      <c r="BP9" s="83"/>
      <c r="BQ9" s="83"/>
      <c r="BR9" s="83"/>
      <c r="BS9" s="83"/>
      <c r="BT9" s="83"/>
    </row>
    <row r="10" spans="1:72" s="86" customFormat="1" ht="15.95" customHeight="1">
      <c r="A10" s="349"/>
      <c r="B10" s="349"/>
      <c r="C10" s="349"/>
      <c r="D10" s="349"/>
      <c r="E10" s="350" t="str">
        <f t="shared" si="0"/>
        <v/>
      </c>
      <c r="F10" s="350"/>
      <c r="G10" s="350"/>
      <c r="H10" s="350"/>
      <c r="I10" s="350"/>
      <c r="J10" s="350"/>
      <c r="K10" s="350"/>
      <c r="L10" s="350"/>
      <c r="M10" s="350"/>
      <c r="N10" s="350"/>
      <c r="O10" s="350"/>
      <c r="P10" s="350"/>
      <c r="Q10" s="350"/>
      <c r="R10" s="349"/>
      <c r="S10" s="349"/>
      <c r="T10" s="349"/>
      <c r="U10" s="349"/>
      <c r="V10" s="83"/>
      <c r="W10" s="83" t="e" vm="1">
        <f t="shared" si="1"/>
        <v>#VALUE!</v>
      </c>
      <c r="X10" s="83"/>
      <c r="Y10" s="160"/>
      <c r="Z10" s="160"/>
      <c r="AA10" s="160"/>
      <c r="AB10" s="161"/>
      <c r="AC10" s="160"/>
      <c r="AD10" s="160"/>
      <c r="AE10" s="160"/>
      <c r="AF10" s="160"/>
      <c r="AG10" s="160"/>
      <c r="AH10" s="160"/>
      <c r="AI10" s="163"/>
      <c r="AJ10" s="163" t="s">
        <v>333</v>
      </c>
      <c r="AK10" s="163"/>
      <c r="AL10" s="160"/>
      <c r="AM10" s="160"/>
      <c r="AN10" s="160"/>
      <c r="AO10" s="160"/>
      <c r="AP10" s="160"/>
      <c r="AQ10" s="160"/>
      <c r="AR10" s="160"/>
      <c r="AS10" s="160"/>
      <c r="AT10" s="160"/>
      <c r="AU10" s="160"/>
      <c r="AV10" s="160"/>
      <c r="AW10" s="160"/>
      <c r="AX10" s="160"/>
      <c r="AY10" s="160"/>
      <c r="AZ10" s="163"/>
      <c r="BA10" s="163" t="e" cm="1" vm="2">
        <f t="array" ref="BA10">_xlfn._xlws.FILTER($AL$7:$AY$7,AL10:AY10= "V")</f>
        <v>#VALUE!</v>
      </c>
      <c r="BB10" s="157"/>
      <c r="BC10" s="157"/>
      <c r="BD10" s="83"/>
      <c r="BE10" s="159"/>
      <c r="BF10" s="159" t="e" cm="1" vm="2">
        <f t="array" ref="BF10">_xlfn._xlws.FILTER($Y$7:$AH$7,Y10:AH10= "V")</f>
        <v>#VALUE!</v>
      </c>
      <c r="BG10" s="88"/>
      <c r="BH10" s="88"/>
      <c r="BI10" s="88"/>
      <c r="BJ10" s="88"/>
      <c r="BK10" s="88"/>
      <c r="BL10" s="83"/>
      <c r="BM10" s="83"/>
      <c r="BN10" s="83"/>
      <c r="BO10" s="83"/>
      <c r="BP10" s="83"/>
      <c r="BQ10" s="83"/>
      <c r="BR10" s="83"/>
      <c r="BS10" s="83"/>
      <c r="BT10" s="83"/>
    </row>
    <row r="11" spans="1:72" s="86" customFormat="1" ht="15.95" customHeight="1">
      <c r="A11" s="349"/>
      <c r="B11" s="349"/>
      <c r="C11" s="349"/>
      <c r="D11" s="349"/>
      <c r="E11" s="350" t="str">
        <f t="shared" si="0"/>
        <v/>
      </c>
      <c r="F11" s="350"/>
      <c r="G11" s="350"/>
      <c r="H11" s="350"/>
      <c r="I11" s="350"/>
      <c r="J11" s="350"/>
      <c r="K11" s="350"/>
      <c r="L11" s="350"/>
      <c r="M11" s="350"/>
      <c r="N11" s="350"/>
      <c r="O11" s="350"/>
      <c r="P11" s="350"/>
      <c r="Q11" s="350"/>
      <c r="R11" s="349"/>
      <c r="S11" s="349"/>
      <c r="T11" s="349"/>
      <c r="U11" s="349"/>
      <c r="V11" s="83"/>
      <c r="W11" s="83" t="e" vm="1">
        <f t="shared" si="1"/>
        <v>#VALUE!</v>
      </c>
      <c r="X11" s="83"/>
      <c r="Y11" s="160"/>
      <c r="Z11" s="160"/>
      <c r="AA11" s="160"/>
      <c r="AB11" s="161"/>
      <c r="AC11" s="160"/>
      <c r="AD11" s="160"/>
      <c r="AE11" s="160"/>
      <c r="AF11" s="160"/>
      <c r="AG11" s="160"/>
      <c r="AH11" s="160"/>
      <c r="AI11" s="163"/>
      <c r="AJ11" s="163" t="s">
        <v>333</v>
      </c>
      <c r="AK11" s="163"/>
      <c r="AL11" s="160"/>
      <c r="AM11" s="160"/>
      <c r="AN11" s="160"/>
      <c r="AO11" s="160"/>
      <c r="AP11" s="160"/>
      <c r="AQ11" s="160"/>
      <c r="AR11" s="160"/>
      <c r="AS11" s="160"/>
      <c r="AT11" s="160"/>
      <c r="AU11" s="160"/>
      <c r="AV11" s="160"/>
      <c r="AW11" s="160"/>
      <c r="AX11" s="160"/>
      <c r="AY11" s="160"/>
      <c r="AZ11" s="163"/>
      <c r="BA11" s="163" t="e" cm="1" vm="2">
        <f t="array" ref="BA11">_xlfn._xlws.FILTER($AL$7:$AY$7,AL11:AY11= "V")</f>
        <v>#VALUE!</v>
      </c>
      <c r="BB11" s="157"/>
      <c r="BC11" s="157"/>
      <c r="BD11" s="83"/>
      <c r="BE11" s="159"/>
      <c r="BF11" s="159" t="e" cm="1" vm="2">
        <f t="array" ref="BF11">_xlfn._xlws.FILTER($Y$7:$AH$7,Y11:AH11= "V")</f>
        <v>#VALUE!</v>
      </c>
      <c r="BG11" s="88"/>
      <c r="BH11" s="88"/>
      <c r="BI11" s="88"/>
      <c r="BJ11" s="88"/>
      <c r="BK11" s="88"/>
      <c r="BL11" s="83"/>
      <c r="BM11" s="83"/>
      <c r="BN11" s="83"/>
      <c r="BO11" s="83"/>
      <c r="BP11" s="83"/>
      <c r="BQ11" s="83"/>
      <c r="BR11" s="83"/>
      <c r="BS11" s="83"/>
      <c r="BT11" s="83"/>
    </row>
    <row r="12" spans="1:72" s="86" customFormat="1" ht="15.95" customHeight="1">
      <c r="A12" s="349"/>
      <c r="B12" s="349"/>
      <c r="C12" s="349"/>
      <c r="D12" s="349"/>
      <c r="E12" s="350" t="str">
        <f t="shared" si="0"/>
        <v/>
      </c>
      <c r="F12" s="350"/>
      <c r="G12" s="350"/>
      <c r="H12" s="350"/>
      <c r="I12" s="350"/>
      <c r="J12" s="350"/>
      <c r="K12" s="350"/>
      <c r="L12" s="350"/>
      <c r="M12" s="350"/>
      <c r="N12" s="350"/>
      <c r="O12" s="350"/>
      <c r="P12" s="350"/>
      <c r="Q12" s="350"/>
      <c r="R12" s="349"/>
      <c r="S12" s="349"/>
      <c r="T12" s="349"/>
      <c r="U12" s="349"/>
      <c r="V12" s="83"/>
      <c r="W12" s="83" t="e" vm="1">
        <f t="shared" si="1"/>
        <v>#VALUE!</v>
      </c>
      <c r="X12" s="83"/>
      <c r="Y12" s="160"/>
      <c r="Z12" s="160"/>
      <c r="AA12" s="160"/>
      <c r="AB12" s="161"/>
      <c r="AC12" s="160"/>
      <c r="AD12" s="160"/>
      <c r="AE12" s="160"/>
      <c r="AF12" s="160"/>
      <c r="AG12" s="160"/>
      <c r="AH12" s="160"/>
      <c r="AI12" s="163"/>
      <c r="AJ12" s="163" t="s">
        <v>333</v>
      </c>
      <c r="AK12" s="163"/>
      <c r="AL12" s="160"/>
      <c r="AM12" s="160"/>
      <c r="AN12" s="160"/>
      <c r="AO12" s="160"/>
      <c r="AP12" s="160"/>
      <c r="AQ12" s="160"/>
      <c r="AR12" s="160"/>
      <c r="AS12" s="160"/>
      <c r="AT12" s="160"/>
      <c r="AU12" s="160"/>
      <c r="AV12" s="160"/>
      <c r="AW12" s="160"/>
      <c r="AX12" s="160"/>
      <c r="AY12" s="160"/>
      <c r="AZ12" s="163"/>
      <c r="BA12" s="163" t="e" cm="1" vm="2">
        <f t="array" ref="BA12">_xlfn._xlws.FILTER($AL$7:$AY$7,AL12:AY12= "V")</f>
        <v>#VALUE!</v>
      </c>
      <c r="BB12" s="157"/>
      <c r="BC12" s="157"/>
      <c r="BD12" s="83"/>
      <c r="BE12" s="159"/>
      <c r="BF12" s="159" t="e" cm="1" vm="2">
        <f t="array" ref="BF12">_xlfn._xlws.FILTER($Y$7:$AH$7,Y12:AH12= "V")</f>
        <v>#VALUE!</v>
      </c>
      <c r="BG12" s="83"/>
      <c r="BH12" s="83"/>
      <c r="BI12" s="83"/>
      <c r="BJ12" s="83"/>
      <c r="BK12" s="83"/>
      <c r="BL12" s="83"/>
      <c r="BM12" s="83"/>
      <c r="BN12" s="83"/>
      <c r="BO12" s="83"/>
      <c r="BP12" s="83"/>
      <c r="BQ12" s="83"/>
      <c r="BR12" s="83"/>
      <c r="BS12" s="83"/>
      <c r="BT12" s="83"/>
    </row>
    <row r="13" spans="1:72" s="86" customFormat="1" ht="15.95" customHeight="1">
      <c r="A13" s="349"/>
      <c r="B13" s="349"/>
      <c r="C13" s="349"/>
      <c r="D13" s="349"/>
      <c r="E13" s="350" t="str">
        <f t="shared" si="0"/>
        <v/>
      </c>
      <c r="F13" s="350"/>
      <c r="G13" s="350"/>
      <c r="H13" s="350"/>
      <c r="I13" s="350"/>
      <c r="J13" s="350"/>
      <c r="K13" s="350"/>
      <c r="L13" s="350"/>
      <c r="M13" s="350"/>
      <c r="N13" s="350"/>
      <c r="O13" s="350"/>
      <c r="P13" s="350"/>
      <c r="Q13" s="350"/>
      <c r="R13" s="349"/>
      <c r="S13" s="349"/>
      <c r="T13" s="349"/>
      <c r="U13" s="349"/>
      <c r="V13" s="83"/>
      <c r="W13" s="83" t="e" vm="1">
        <f t="shared" si="1"/>
        <v>#VALUE!</v>
      </c>
      <c r="X13" s="83"/>
      <c r="Y13" s="160"/>
      <c r="Z13" s="160"/>
      <c r="AA13" s="160"/>
      <c r="AB13" s="161"/>
      <c r="AC13" s="160"/>
      <c r="AD13" s="160"/>
      <c r="AE13" s="160"/>
      <c r="AF13" s="160"/>
      <c r="AG13" s="160"/>
      <c r="AH13" s="160"/>
      <c r="AI13" s="163"/>
      <c r="AJ13" s="163" t="s">
        <v>333</v>
      </c>
      <c r="AK13" s="163"/>
      <c r="AL13" s="160"/>
      <c r="AM13" s="160"/>
      <c r="AN13" s="160"/>
      <c r="AO13" s="160"/>
      <c r="AP13" s="160"/>
      <c r="AQ13" s="160"/>
      <c r="AR13" s="160"/>
      <c r="AS13" s="160"/>
      <c r="AT13" s="160"/>
      <c r="AU13" s="160"/>
      <c r="AV13" s="160"/>
      <c r="AW13" s="160"/>
      <c r="AX13" s="160"/>
      <c r="AY13" s="160"/>
      <c r="AZ13" s="163"/>
      <c r="BA13" s="163" t="e" cm="1" vm="2">
        <f t="array" ref="BA13">_xlfn._xlws.FILTER($AL$7:$AY$7,AL13:AY13= "V")</f>
        <v>#VALUE!</v>
      </c>
      <c r="BB13" s="157"/>
      <c r="BC13" s="157"/>
      <c r="BD13" s="83"/>
      <c r="BE13" s="159"/>
      <c r="BF13" s="159" t="e" cm="1" vm="2">
        <f t="array" ref="BF13">_xlfn._xlws.FILTER($Y$7:$AH$7,Y13:AH13= "V")</f>
        <v>#VALUE!</v>
      </c>
      <c r="BG13" s="83"/>
      <c r="BH13" s="83"/>
      <c r="BI13" s="83"/>
      <c r="BJ13" s="83"/>
      <c r="BK13" s="83"/>
      <c r="BL13" s="83"/>
      <c r="BM13" s="83"/>
      <c r="BN13" s="83"/>
      <c r="BO13" s="83"/>
      <c r="BP13" s="83"/>
      <c r="BQ13" s="83"/>
      <c r="BR13" s="83"/>
      <c r="BS13" s="83"/>
      <c r="BT13" s="83"/>
    </row>
    <row r="14" spans="1:72" s="86" customFormat="1" ht="15.95" customHeight="1">
      <c r="A14" s="349"/>
      <c r="B14" s="349"/>
      <c r="C14" s="349"/>
      <c r="D14" s="349"/>
      <c r="E14" s="350" t="str">
        <f t="shared" si="0"/>
        <v/>
      </c>
      <c r="F14" s="350"/>
      <c r="G14" s="350"/>
      <c r="H14" s="350"/>
      <c r="I14" s="350"/>
      <c r="J14" s="350"/>
      <c r="K14" s="350"/>
      <c r="L14" s="350"/>
      <c r="M14" s="350"/>
      <c r="N14" s="350"/>
      <c r="O14" s="350"/>
      <c r="P14" s="350"/>
      <c r="Q14" s="350"/>
      <c r="R14" s="349"/>
      <c r="S14" s="349"/>
      <c r="T14" s="349"/>
      <c r="U14" s="349"/>
      <c r="V14" s="106"/>
      <c r="W14" s="83" t="e" vm="1">
        <f t="shared" si="1"/>
        <v>#VALUE!</v>
      </c>
      <c r="X14" s="83"/>
      <c r="Y14" s="160"/>
      <c r="Z14" s="160"/>
      <c r="AA14" s="160"/>
      <c r="AB14" s="161"/>
      <c r="AC14" s="160"/>
      <c r="AD14" s="160"/>
      <c r="AE14" s="160"/>
      <c r="AF14" s="160"/>
      <c r="AG14" s="160"/>
      <c r="AH14" s="160"/>
      <c r="AI14" s="163"/>
      <c r="AJ14" s="163" t="s">
        <v>333</v>
      </c>
      <c r="AK14" s="163"/>
      <c r="AL14" s="160"/>
      <c r="AM14" s="160"/>
      <c r="AN14" s="160"/>
      <c r="AO14" s="160"/>
      <c r="AP14" s="160"/>
      <c r="AQ14" s="160"/>
      <c r="AR14" s="160"/>
      <c r="AS14" s="160"/>
      <c r="AT14" s="160"/>
      <c r="AU14" s="160"/>
      <c r="AV14" s="160"/>
      <c r="AW14" s="160"/>
      <c r="AX14" s="160"/>
      <c r="AY14" s="160"/>
      <c r="AZ14" s="163"/>
      <c r="BA14" s="163" t="e" cm="1" vm="2">
        <f t="array" ref="BA14">_xlfn._xlws.FILTER($AL$7:$AY$7,AL14:AY14= "V")</f>
        <v>#VALUE!</v>
      </c>
      <c r="BB14" s="157"/>
      <c r="BC14" s="157"/>
      <c r="BD14" s="83"/>
      <c r="BE14" s="159"/>
      <c r="BF14" s="159" t="e" cm="1" vm="2">
        <f t="array" ref="BF14">_xlfn._xlws.FILTER($Y$7:$AH$7,Y14:AH14= "V")</f>
        <v>#VALUE!</v>
      </c>
      <c r="BG14" s="83"/>
      <c r="BH14" s="83"/>
      <c r="BI14" s="83"/>
      <c r="BJ14" s="83"/>
      <c r="BK14" s="83"/>
      <c r="BL14" s="83"/>
      <c r="BM14" s="83"/>
      <c r="BN14" s="83"/>
      <c r="BO14" s="83"/>
      <c r="BP14" s="83"/>
      <c r="BQ14" s="83"/>
      <c r="BR14" s="83"/>
      <c r="BS14" s="83"/>
      <c r="BT14" s="83"/>
    </row>
    <row r="15" spans="1:72" s="86" customFormat="1" ht="15.95" customHeight="1">
      <c r="A15" s="349"/>
      <c r="B15" s="349"/>
      <c r="C15" s="349"/>
      <c r="D15" s="349"/>
      <c r="E15" s="350" t="str">
        <f t="shared" si="0"/>
        <v/>
      </c>
      <c r="F15" s="350"/>
      <c r="G15" s="350"/>
      <c r="H15" s="350"/>
      <c r="I15" s="350"/>
      <c r="J15" s="350"/>
      <c r="K15" s="350"/>
      <c r="L15" s="350"/>
      <c r="M15" s="350"/>
      <c r="N15" s="350"/>
      <c r="O15" s="350"/>
      <c r="P15" s="350"/>
      <c r="Q15" s="350"/>
      <c r="R15" s="349"/>
      <c r="S15" s="349"/>
      <c r="T15" s="349"/>
      <c r="U15" s="349"/>
      <c r="V15" s="106"/>
      <c r="W15" s="83" t="e" vm="1">
        <f t="shared" si="1"/>
        <v>#VALUE!</v>
      </c>
      <c r="X15" s="83"/>
      <c r="Y15" s="160"/>
      <c r="Z15" s="160"/>
      <c r="AA15" s="160"/>
      <c r="AB15" s="161"/>
      <c r="AC15" s="160"/>
      <c r="AD15" s="160"/>
      <c r="AE15" s="160"/>
      <c r="AF15" s="160"/>
      <c r="AG15" s="160"/>
      <c r="AH15" s="160"/>
      <c r="AI15" s="163"/>
      <c r="AJ15" s="163" t="s">
        <v>333</v>
      </c>
      <c r="AK15" s="163"/>
      <c r="AL15" s="160"/>
      <c r="AM15" s="160"/>
      <c r="AN15" s="160"/>
      <c r="AO15" s="160"/>
      <c r="AP15" s="160"/>
      <c r="AQ15" s="160"/>
      <c r="AR15" s="160"/>
      <c r="AS15" s="160"/>
      <c r="AT15" s="160"/>
      <c r="AU15" s="160"/>
      <c r="AV15" s="160"/>
      <c r="AW15" s="160"/>
      <c r="AX15" s="160"/>
      <c r="AY15" s="160"/>
      <c r="AZ15" s="163"/>
      <c r="BA15" s="163" t="e" cm="1" vm="2">
        <f t="array" ref="BA15">_xlfn._xlws.FILTER($AL$7:$AY$7,AL15:AY15= "V")</f>
        <v>#VALUE!</v>
      </c>
      <c r="BB15" s="157"/>
      <c r="BC15" s="157"/>
      <c r="BD15" s="83"/>
      <c r="BE15" s="159"/>
      <c r="BF15" s="159" t="e" cm="1" vm="2">
        <f t="array" ref="BF15">_xlfn._xlws.FILTER($Y$7:$AH$7,Y15:AH15= "V")</f>
        <v>#VALUE!</v>
      </c>
      <c r="BG15" s="83"/>
      <c r="BH15" s="83"/>
      <c r="BI15" s="83"/>
      <c r="BJ15" s="83"/>
      <c r="BK15" s="83"/>
      <c r="BL15" s="83"/>
      <c r="BM15" s="83"/>
      <c r="BN15" s="83"/>
      <c r="BO15" s="83"/>
      <c r="BP15" s="83"/>
      <c r="BQ15" s="83"/>
      <c r="BR15" s="83"/>
      <c r="BS15" s="83"/>
      <c r="BT15" s="83"/>
    </row>
    <row r="16" spans="1:72" s="86" customFormat="1" ht="15.95" customHeight="1">
      <c r="A16" s="349"/>
      <c r="B16" s="349"/>
      <c r="C16" s="349"/>
      <c r="D16" s="349"/>
      <c r="E16" s="350" t="str">
        <f t="shared" si="0"/>
        <v/>
      </c>
      <c r="F16" s="350"/>
      <c r="G16" s="350"/>
      <c r="H16" s="350"/>
      <c r="I16" s="350"/>
      <c r="J16" s="350"/>
      <c r="K16" s="350"/>
      <c r="L16" s="350"/>
      <c r="M16" s="350"/>
      <c r="N16" s="350"/>
      <c r="O16" s="350"/>
      <c r="P16" s="350"/>
      <c r="Q16" s="350"/>
      <c r="R16" s="349"/>
      <c r="S16" s="349"/>
      <c r="T16" s="349"/>
      <c r="U16" s="349"/>
      <c r="V16" s="106"/>
      <c r="W16" s="83" t="e" vm="1">
        <f t="shared" si="1"/>
        <v>#VALUE!</v>
      </c>
      <c r="X16" s="83"/>
      <c r="Y16" s="160"/>
      <c r="Z16" s="160"/>
      <c r="AA16" s="160"/>
      <c r="AB16" s="161"/>
      <c r="AC16" s="160"/>
      <c r="AD16" s="160"/>
      <c r="AE16" s="160"/>
      <c r="AF16" s="160"/>
      <c r="AG16" s="160"/>
      <c r="AH16" s="160"/>
      <c r="AI16" s="163"/>
      <c r="AJ16" s="163" t="s">
        <v>333</v>
      </c>
      <c r="AK16" s="163"/>
      <c r="AL16" s="160"/>
      <c r="AM16" s="160"/>
      <c r="AN16" s="160"/>
      <c r="AO16" s="160"/>
      <c r="AP16" s="160"/>
      <c r="AQ16" s="160"/>
      <c r="AR16" s="160"/>
      <c r="AS16" s="160"/>
      <c r="AT16" s="160"/>
      <c r="AU16" s="160"/>
      <c r="AV16" s="160"/>
      <c r="AW16" s="160"/>
      <c r="AX16" s="160"/>
      <c r="AY16" s="160"/>
      <c r="AZ16" s="163"/>
      <c r="BA16" s="163" t="e" cm="1" vm="2">
        <f t="array" ref="BA16">_xlfn._xlws.FILTER($AL$7:$AY$7,AL16:AY16= "V")</f>
        <v>#VALUE!</v>
      </c>
      <c r="BB16" s="157"/>
      <c r="BC16" s="157"/>
      <c r="BD16" s="83"/>
      <c r="BE16" s="159"/>
      <c r="BF16" s="159" t="e" cm="1" vm="2">
        <f t="array" ref="BF16">_xlfn._xlws.FILTER($Y$7:$AH$7,Y16:AH16= "V")</f>
        <v>#VALUE!</v>
      </c>
      <c r="BG16" s="83"/>
      <c r="BH16" s="83"/>
      <c r="BI16" s="83"/>
      <c r="BJ16" s="83"/>
      <c r="BK16" s="83"/>
      <c r="BL16" s="83"/>
      <c r="BM16" s="83"/>
      <c r="BN16" s="83"/>
      <c r="BO16" s="83"/>
      <c r="BP16" s="83"/>
      <c r="BQ16" s="83"/>
      <c r="BR16" s="83"/>
      <c r="BS16" s="83"/>
      <c r="BT16" s="83"/>
    </row>
    <row r="17" spans="1:72" s="86" customFormat="1" ht="15.95" customHeight="1">
      <c r="A17" s="349"/>
      <c r="B17" s="349"/>
      <c r="C17" s="349"/>
      <c r="D17" s="349"/>
      <c r="E17" s="350" t="str">
        <f t="shared" si="0"/>
        <v/>
      </c>
      <c r="F17" s="350"/>
      <c r="G17" s="350"/>
      <c r="H17" s="350"/>
      <c r="I17" s="350"/>
      <c r="J17" s="350"/>
      <c r="K17" s="350"/>
      <c r="L17" s="350"/>
      <c r="M17" s="350"/>
      <c r="N17" s="350"/>
      <c r="O17" s="350"/>
      <c r="P17" s="350"/>
      <c r="Q17" s="350"/>
      <c r="R17" s="349"/>
      <c r="S17" s="349"/>
      <c r="T17" s="349"/>
      <c r="U17" s="349"/>
      <c r="V17" s="106"/>
      <c r="W17" s="83" t="e" vm="1">
        <f t="shared" si="1"/>
        <v>#VALUE!</v>
      </c>
      <c r="X17" s="83"/>
      <c r="Y17" s="160"/>
      <c r="Z17" s="160"/>
      <c r="AA17" s="160"/>
      <c r="AB17" s="161"/>
      <c r="AC17" s="160"/>
      <c r="AD17" s="160"/>
      <c r="AE17" s="160"/>
      <c r="AF17" s="160"/>
      <c r="AG17" s="160"/>
      <c r="AH17" s="160"/>
      <c r="AI17" s="163"/>
      <c r="AJ17" s="163" t="s">
        <v>333</v>
      </c>
      <c r="AK17" s="163"/>
      <c r="AL17" s="160"/>
      <c r="AM17" s="160"/>
      <c r="AN17" s="160"/>
      <c r="AO17" s="160"/>
      <c r="AP17" s="160"/>
      <c r="AQ17" s="160"/>
      <c r="AR17" s="160"/>
      <c r="AS17" s="160"/>
      <c r="AT17" s="160"/>
      <c r="AU17" s="160"/>
      <c r="AV17" s="160"/>
      <c r="AW17" s="160"/>
      <c r="AX17" s="160"/>
      <c r="AY17" s="160"/>
      <c r="AZ17" s="163"/>
      <c r="BA17" s="163" t="e" cm="1" vm="2">
        <f t="array" ref="BA17">_xlfn._xlws.FILTER($AL$7:$AY$7,AL17:AY17= "V")</f>
        <v>#VALUE!</v>
      </c>
      <c r="BB17" s="157"/>
      <c r="BC17" s="157"/>
      <c r="BD17" s="83"/>
      <c r="BE17" s="159"/>
      <c r="BF17" s="159" t="e" cm="1" vm="2">
        <f t="array" ref="BF17">_xlfn._xlws.FILTER($Y$7:$AH$7,Y17:AH17= "V")</f>
        <v>#VALUE!</v>
      </c>
      <c r="BG17" s="83"/>
      <c r="BH17" s="83"/>
      <c r="BI17" s="83"/>
      <c r="BJ17" s="83"/>
      <c r="BK17" s="83"/>
      <c r="BL17" s="83"/>
      <c r="BM17" s="83"/>
      <c r="BN17" s="83"/>
      <c r="BO17" s="83"/>
      <c r="BP17" s="83"/>
      <c r="BQ17" s="83"/>
      <c r="BR17" s="83"/>
      <c r="BS17" s="83"/>
      <c r="BT17" s="83"/>
    </row>
    <row r="18" spans="1:72" s="86" customFormat="1" ht="15.95" customHeight="1">
      <c r="A18" s="349"/>
      <c r="B18" s="349"/>
      <c r="C18" s="349"/>
      <c r="D18" s="349"/>
      <c r="E18" s="350" t="str">
        <f t="shared" si="0"/>
        <v/>
      </c>
      <c r="F18" s="350"/>
      <c r="G18" s="350"/>
      <c r="H18" s="350"/>
      <c r="I18" s="350"/>
      <c r="J18" s="350"/>
      <c r="K18" s="350"/>
      <c r="L18" s="350"/>
      <c r="M18" s="350"/>
      <c r="N18" s="350"/>
      <c r="O18" s="350"/>
      <c r="P18" s="350"/>
      <c r="Q18" s="350"/>
      <c r="R18" s="349"/>
      <c r="S18" s="349"/>
      <c r="T18" s="349"/>
      <c r="U18" s="349"/>
      <c r="V18" s="106"/>
      <c r="W18" s="83" t="e" vm="1">
        <f t="shared" si="1"/>
        <v>#VALUE!</v>
      </c>
      <c r="X18" s="83"/>
      <c r="Y18" s="160"/>
      <c r="Z18" s="160"/>
      <c r="AA18" s="160"/>
      <c r="AB18" s="161"/>
      <c r="AC18" s="160"/>
      <c r="AD18" s="160"/>
      <c r="AE18" s="160"/>
      <c r="AF18" s="160"/>
      <c r="AG18" s="160"/>
      <c r="AH18" s="160"/>
      <c r="AI18" s="163"/>
      <c r="AJ18" s="163" t="s">
        <v>333</v>
      </c>
      <c r="AK18" s="163"/>
      <c r="AL18" s="160"/>
      <c r="AM18" s="160"/>
      <c r="AN18" s="160"/>
      <c r="AO18" s="160"/>
      <c r="AP18" s="160"/>
      <c r="AQ18" s="160"/>
      <c r="AR18" s="160"/>
      <c r="AS18" s="160"/>
      <c r="AT18" s="160"/>
      <c r="AU18" s="160"/>
      <c r="AV18" s="160"/>
      <c r="AW18" s="160"/>
      <c r="AX18" s="160"/>
      <c r="AY18" s="160"/>
      <c r="AZ18" s="163"/>
      <c r="BA18" s="163" t="e" cm="1" vm="2">
        <f t="array" ref="BA18">_xlfn._xlws.FILTER($AL$7:$AY$7,AL18:AY18= "V")</f>
        <v>#VALUE!</v>
      </c>
      <c r="BB18" s="157"/>
      <c r="BC18" s="157"/>
      <c r="BD18" s="83"/>
      <c r="BE18" s="159"/>
      <c r="BF18" s="159" t="e" cm="1" vm="2">
        <f t="array" ref="BF18">_xlfn._xlws.FILTER($Y$7:$AH$7,Y18:AH18= "V")</f>
        <v>#VALUE!</v>
      </c>
      <c r="BG18" s="83"/>
      <c r="BH18" s="83"/>
      <c r="BI18" s="83"/>
      <c r="BJ18" s="83"/>
      <c r="BK18" s="83"/>
      <c r="BL18" s="83"/>
      <c r="BM18" s="83"/>
      <c r="BN18" s="83"/>
      <c r="BO18" s="83"/>
      <c r="BP18" s="83"/>
      <c r="BQ18" s="83"/>
      <c r="BR18" s="83"/>
      <c r="BS18" s="83"/>
      <c r="BT18" s="83"/>
    </row>
    <row r="19" spans="1:72" s="86" customFormat="1" ht="15.95" customHeight="1">
      <c r="A19" s="349"/>
      <c r="B19" s="349"/>
      <c r="C19" s="349"/>
      <c r="D19" s="349"/>
      <c r="E19" s="350" t="str">
        <f t="shared" si="0"/>
        <v/>
      </c>
      <c r="F19" s="350"/>
      <c r="G19" s="350"/>
      <c r="H19" s="350"/>
      <c r="I19" s="350"/>
      <c r="J19" s="350"/>
      <c r="K19" s="350"/>
      <c r="L19" s="350"/>
      <c r="M19" s="350"/>
      <c r="N19" s="350"/>
      <c r="O19" s="350"/>
      <c r="P19" s="350"/>
      <c r="Q19" s="350"/>
      <c r="R19" s="349"/>
      <c r="S19" s="349"/>
      <c r="T19" s="349"/>
      <c r="U19" s="349"/>
      <c r="V19" s="106"/>
      <c r="W19" s="83" t="e" vm="1">
        <f t="shared" si="1"/>
        <v>#VALUE!</v>
      </c>
      <c r="X19" s="83"/>
      <c r="Y19" s="160"/>
      <c r="Z19" s="160"/>
      <c r="AA19" s="160"/>
      <c r="AB19" s="161"/>
      <c r="AC19" s="160"/>
      <c r="AD19" s="160"/>
      <c r="AE19" s="160"/>
      <c r="AF19" s="160"/>
      <c r="AG19" s="160"/>
      <c r="AH19" s="160"/>
      <c r="AI19" s="163"/>
      <c r="AJ19" s="163" t="s">
        <v>333</v>
      </c>
      <c r="AK19" s="163"/>
      <c r="AL19" s="160"/>
      <c r="AM19" s="160"/>
      <c r="AN19" s="160"/>
      <c r="AO19" s="160"/>
      <c r="AP19" s="160"/>
      <c r="AQ19" s="160"/>
      <c r="AR19" s="160"/>
      <c r="AS19" s="160"/>
      <c r="AT19" s="160"/>
      <c r="AU19" s="160"/>
      <c r="AV19" s="160"/>
      <c r="AW19" s="160"/>
      <c r="AX19" s="160"/>
      <c r="AY19" s="160"/>
      <c r="AZ19" s="163"/>
      <c r="BA19" s="163" t="e" cm="1" vm="2">
        <f t="array" ref="BA19">_xlfn._xlws.FILTER($AL$7:$AY$7,AL19:AY19= "V")</f>
        <v>#VALUE!</v>
      </c>
      <c r="BB19" s="157"/>
      <c r="BC19" s="157"/>
      <c r="BD19" s="83"/>
      <c r="BE19" s="159"/>
      <c r="BF19" s="159" t="e" cm="1" vm="2">
        <f t="array" ref="BF19">_xlfn._xlws.FILTER($Y$7:$AH$7,Y19:AH19= "V")</f>
        <v>#VALUE!</v>
      </c>
      <c r="BG19" s="83"/>
      <c r="BH19" s="83"/>
      <c r="BI19" s="83"/>
      <c r="BJ19" s="83"/>
      <c r="BK19" s="83"/>
      <c r="BL19" s="83"/>
      <c r="BM19" s="83"/>
      <c r="BN19" s="83"/>
      <c r="BO19" s="83"/>
      <c r="BP19" s="83"/>
      <c r="BQ19" s="83"/>
      <c r="BR19" s="83"/>
      <c r="BS19" s="83"/>
      <c r="BT19" s="83"/>
    </row>
    <row r="20" spans="1:72" s="86" customFormat="1" ht="15.95" customHeight="1">
      <c r="A20" s="349"/>
      <c r="B20" s="349"/>
      <c r="C20" s="349"/>
      <c r="D20" s="349"/>
      <c r="E20" s="350" t="str">
        <f t="shared" si="0"/>
        <v/>
      </c>
      <c r="F20" s="350"/>
      <c r="G20" s="350"/>
      <c r="H20" s="350"/>
      <c r="I20" s="350"/>
      <c r="J20" s="350"/>
      <c r="K20" s="350"/>
      <c r="L20" s="350"/>
      <c r="M20" s="350"/>
      <c r="N20" s="350"/>
      <c r="O20" s="350"/>
      <c r="P20" s="350"/>
      <c r="Q20" s="350"/>
      <c r="R20" s="349"/>
      <c r="S20" s="349"/>
      <c r="T20" s="349"/>
      <c r="U20" s="349"/>
      <c r="V20" s="106"/>
      <c r="W20" s="83" t="e" vm="1">
        <f t="shared" si="1"/>
        <v>#VALUE!</v>
      </c>
      <c r="X20" s="83"/>
      <c r="Y20" s="160"/>
      <c r="Z20" s="160"/>
      <c r="AA20" s="160"/>
      <c r="AB20" s="161"/>
      <c r="AC20" s="160"/>
      <c r="AD20" s="160"/>
      <c r="AE20" s="160"/>
      <c r="AF20" s="160"/>
      <c r="AG20" s="160"/>
      <c r="AH20" s="160"/>
      <c r="AI20" s="163"/>
      <c r="AJ20" s="163" t="s">
        <v>333</v>
      </c>
      <c r="AK20" s="163"/>
      <c r="AL20" s="160"/>
      <c r="AM20" s="160"/>
      <c r="AN20" s="160"/>
      <c r="AO20" s="160"/>
      <c r="AP20" s="160"/>
      <c r="AQ20" s="160"/>
      <c r="AR20" s="160"/>
      <c r="AS20" s="160"/>
      <c r="AT20" s="160"/>
      <c r="AU20" s="160"/>
      <c r="AV20" s="160"/>
      <c r="AW20" s="160"/>
      <c r="AX20" s="160"/>
      <c r="AY20" s="160"/>
      <c r="AZ20" s="163"/>
      <c r="BA20" s="163" t="e" cm="1" vm="2">
        <f t="array" ref="BA20">_xlfn._xlws.FILTER($AL$7:$AY$7,AL20:AY20= "V")</f>
        <v>#VALUE!</v>
      </c>
      <c r="BB20" s="157"/>
      <c r="BC20" s="157"/>
      <c r="BD20" s="83"/>
      <c r="BE20" s="159"/>
      <c r="BF20" s="159" t="e" cm="1" vm="2">
        <f t="array" ref="BF20">_xlfn._xlws.FILTER($Y$7:$AH$7,Y20:AH20= "V")</f>
        <v>#VALUE!</v>
      </c>
      <c r="BG20" s="83"/>
      <c r="BH20" s="83"/>
      <c r="BI20" s="83"/>
      <c r="BJ20" s="83"/>
      <c r="BK20" s="83"/>
      <c r="BL20" s="83"/>
      <c r="BM20" s="83"/>
      <c r="BN20" s="83"/>
      <c r="BO20" s="83"/>
      <c r="BP20" s="83"/>
      <c r="BQ20" s="83"/>
      <c r="BR20" s="83"/>
      <c r="BS20" s="83"/>
      <c r="BT20" s="83"/>
    </row>
    <row r="21" spans="1:72" s="86" customFormat="1" ht="15.95" customHeight="1">
      <c r="A21" s="349"/>
      <c r="B21" s="349"/>
      <c r="C21" s="349"/>
      <c r="D21" s="349"/>
      <c r="E21" s="350" t="str">
        <f t="shared" si="0"/>
        <v/>
      </c>
      <c r="F21" s="350"/>
      <c r="G21" s="350"/>
      <c r="H21" s="350"/>
      <c r="I21" s="350"/>
      <c r="J21" s="350"/>
      <c r="K21" s="350"/>
      <c r="L21" s="350"/>
      <c r="M21" s="350"/>
      <c r="N21" s="350"/>
      <c r="O21" s="350"/>
      <c r="P21" s="350"/>
      <c r="Q21" s="350"/>
      <c r="R21" s="349"/>
      <c r="S21" s="349"/>
      <c r="T21" s="349"/>
      <c r="U21" s="349"/>
      <c r="V21" s="106"/>
      <c r="W21" s="83" t="e" vm="1">
        <f t="shared" si="1"/>
        <v>#VALUE!</v>
      </c>
      <c r="X21" s="83"/>
      <c r="Y21" s="160"/>
      <c r="Z21" s="160"/>
      <c r="AA21" s="160"/>
      <c r="AB21" s="161"/>
      <c r="AC21" s="160"/>
      <c r="AD21" s="160"/>
      <c r="AE21" s="160"/>
      <c r="AF21" s="160"/>
      <c r="AG21" s="160"/>
      <c r="AH21" s="160"/>
      <c r="AI21" s="163"/>
      <c r="AJ21" s="163" t="s">
        <v>333</v>
      </c>
      <c r="AK21" s="163"/>
      <c r="AL21" s="160"/>
      <c r="AM21" s="160"/>
      <c r="AN21" s="160"/>
      <c r="AO21" s="160"/>
      <c r="AP21" s="160"/>
      <c r="AQ21" s="160"/>
      <c r="AR21" s="160"/>
      <c r="AS21" s="160"/>
      <c r="AT21" s="160"/>
      <c r="AU21" s="160"/>
      <c r="AV21" s="160"/>
      <c r="AW21" s="160"/>
      <c r="AX21" s="160"/>
      <c r="AY21" s="160"/>
      <c r="AZ21" s="163"/>
      <c r="BA21" s="163" t="e" cm="1" vm="2">
        <f t="array" ref="BA21">_xlfn._xlws.FILTER($AL$7:$AY$7,AL21:AY21= "V")</f>
        <v>#VALUE!</v>
      </c>
      <c r="BB21" s="157"/>
      <c r="BC21" s="157"/>
      <c r="BD21" s="83"/>
      <c r="BE21" s="159"/>
      <c r="BF21" s="159" t="e" cm="1" vm="2">
        <f t="array" ref="BF21">_xlfn._xlws.FILTER($Y$7:$AH$7,Y21:AH21= "V")</f>
        <v>#VALUE!</v>
      </c>
      <c r="BG21" s="83"/>
      <c r="BH21" s="83"/>
      <c r="BI21" s="83"/>
      <c r="BJ21" s="83"/>
      <c r="BK21" s="83"/>
      <c r="BL21" s="83"/>
      <c r="BM21" s="83"/>
      <c r="BN21" s="83"/>
      <c r="BO21" s="83"/>
      <c r="BP21" s="83"/>
      <c r="BQ21" s="83"/>
      <c r="BR21" s="83"/>
      <c r="BS21" s="83"/>
      <c r="BT21" s="83"/>
    </row>
    <row r="22" spans="1:72" s="86" customFormat="1" ht="15.95" customHeight="1">
      <c r="A22" s="349"/>
      <c r="B22" s="349"/>
      <c r="C22" s="349"/>
      <c r="D22" s="349"/>
      <c r="E22" s="350" t="str">
        <f t="shared" si="0"/>
        <v/>
      </c>
      <c r="F22" s="350"/>
      <c r="G22" s="350"/>
      <c r="H22" s="350"/>
      <c r="I22" s="350"/>
      <c r="J22" s="350"/>
      <c r="K22" s="350"/>
      <c r="L22" s="350"/>
      <c r="M22" s="350"/>
      <c r="N22" s="350"/>
      <c r="O22" s="350"/>
      <c r="P22" s="350"/>
      <c r="Q22" s="350"/>
      <c r="R22" s="349"/>
      <c r="S22" s="349"/>
      <c r="T22" s="349"/>
      <c r="U22" s="349"/>
      <c r="V22" s="106"/>
      <c r="W22" s="83" t="e" vm="1">
        <f t="shared" si="1"/>
        <v>#VALUE!</v>
      </c>
      <c r="X22" s="83"/>
      <c r="Y22" s="160"/>
      <c r="Z22" s="160"/>
      <c r="AA22" s="160"/>
      <c r="AB22" s="161"/>
      <c r="AC22" s="160"/>
      <c r="AD22" s="160"/>
      <c r="AE22" s="160"/>
      <c r="AF22" s="160"/>
      <c r="AG22" s="160"/>
      <c r="AH22" s="160"/>
      <c r="AI22" s="163"/>
      <c r="AJ22" s="163" t="s">
        <v>333</v>
      </c>
      <c r="AK22" s="163"/>
      <c r="AL22" s="160"/>
      <c r="AM22" s="160"/>
      <c r="AN22" s="160"/>
      <c r="AO22" s="160"/>
      <c r="AP22" s="160"/>
      <c r="AQ22" s="160"/>
      <c r="AR22" s="160"/>
      <c r="AS22" s="160"/>
      <c r="AT22" s="160"/>
      <c r="AU22" s="160"/>
      <c r="AV22" s="160"/>
      <c r="AW22" s="160"/>
      <c r="AX22" s="160"/>
      <c r="AY22" s="160"/>
      <c r="AZ22" s="163"/>
      <c r="BA22" s="163" t="e" cm="1" vm="2">
        <f t="array" ref="BA22">_xlfn._xlws.FILTER($AL$7:$AY$7,AL22:AY22= "V")</f>
        <v>#VALUE!</v>
      </c>
      <c r="BB22" s="157"/>
      <c r="BC22" s="157"/>
      <c r="BD22" s="83"/>
      <c r="BE22" s="159"/>
      <c r="BF22" s="159" t="e" cm="1" vm="2">
        <f t="array" ref="BF22">_xlfn._xlws.FILTER($Y$7:$AH$7,Y22:AH22= "V")</f>
        <v>#VALUE!</v>
      </c>
      <c r="BG22" s="83"/>
      <c r="BH22" s="83"/>
      <c r="BI22" s="83"/>
      <c r="BJ22" s="83"/>
      <c r="BK22" s="83"/>
      <c r="BL22" s="83"/>
      <c r="BM22" s="83"/>
      <c r="BN22" s="83"/>
      <c r="BO22" s="83"/>
      <c r="BP22" s="83"/>
      <c r="BQ22" s="83"/>
      <c r="BR22" s="83"/>
      <c r="BS22" s="83"/>
      <c r="BT22" s="83"/>
    </row>
    <row r="23" spans="1:72" s="86" customFormat="1" ht="15.95" customHeight="1">
      <c r="A23" s="349"/>
      <c r="B23" s="349"/>
      <c r="C23" s="349"/>
      <c r="D23" s="349"/>
      <c r="E23" s="350" t="str">
        <f t="shared" si="0"/>
        <v/>
      </c>
      <c r="F23" s="350"/>
      <c r="G23" s="350"/>
      <c r="H23" s="350"/>
      <c r="I23" s="350"/>
      <c r="J23" s="350"/>
      <c r="K23" s="350"/>
      <c r="L23" s="350"/>
      <c r="M23" s="350"/>
      <c r="N23" s="350"/>
      <c r="O23" s="350"/>
      <c r="P23" s="350"/>
      <c r="Q23" s="350"/>
      <c r="R23" s="349"/>
      <c r="S23" s="349"/>
      <c r="T23" s="349"/>
      <c r="U23" s="349"/>
      <c r="V23" s="106"/>
      <c r="W23" s="83" t="e" vm="1">
        <f t="shared" si="1"/>
        <v>#VALUE!</v>
      </c>
      <c r="X23" s="83"/>
      <c r="Y23" s="160"/>
      <c r="Z23" s="160"/>
      <c r="AA23" s="160"/>
      <c r="AB23" s="161"/>
      <c r="AC23" s="160"/>
      <c r="AD23" s="160"/>
      <c r="AE23" s="160"/>
      <c r="AF23" s="160"/>
      <c r="AG23" s="160"/>
      <c r="AH23" s="160"/>
      <c r="AI23" s="163"/>
      <c r="AJ23" s="163" t="s">
        <v>333</v>
      </c>
      <c r="AK23" s="163"/>
      <c r="AL23" s="160"/>
      <c r="AM23" s="160"/>
      <c r="AN23" s="160"/>
      <c r="AO23" s="160"/>
      <c r="AP23" s="160"/>
      <c r="AQ23" s="160"/>
      <c r="AR23" s="160"/>
      <c r="AS23" s="160"/>
      <c r="AT23" s="160"/>
      <c r="AU23" s="160"/>
      <c r="AV23" s="160"/>
      <c r="AW23" s="160"/>
      <c r="AX23" s="160"/>
      <c r="AY23" s="160"/>
      <c r="AZ23" s="163"/>
      <c r="BA23" s="163" t="e" cm="1" vm="2">
        <f t="array" ref="BA23">_xlfn._xlws.FILTER($AL$7:$AY$7,AL23:AY23= "V")</f>
        <v>#VALUE!</v>
      </c>
      <c r="BB23" s="157"/>
      <c r="BC23" s="157"/>
      <c r="BD23" s="83"/>
      <c r="BE23" s="159"/>
      <c r="BF23" s="159" t="e" cm="1" vm="2">
        <f t="array" ref="BF23">_xlfn._xlws.FILTER($Y$7:$AH$7,Y23:AH23= "V")</f>
        <v>#VALUE!</v>
      </c>
      <c r="BG23" s="83"/>
      <c r="BH23" s="83"/>
      <c r="BI23" s="83"/>
      <c r="BJ23" s="83"/>
      <c r="BK23" s="83"/>
      <c r="BL23" s="83"/>
      <c r="BM23" s="83"/>
      <c r="BN23" s="83"/>
      <c r="BO23" s="83"/>
      <c r="BP23" s="83"/>
      <c r="BQ23" s="83"/>
      <c r="BR23" s="83"/>
      <c r="BS23" s="83"/>
      <c r="BT23" s="83"/>
    </row>
    <row r="24" spans="1:72" s="86" customFormat="1" ht="15.95" customHeight="1">
      <c r="A24" s="349"/>
      <c r="B24" s="349"/>
      <c r="C24" s="349"/>
      <c r="D24" s="349"/>
      <c r="E24" s="350" t="str">
        <f t="shared" si="0"/>
        <v/>
      </c>
      <c r="F24" s="350"/>
      <c r="G24" s="350"/>
      <c r="H24" s="350"/>
      <c r="I24" s="350"/>
      <c r="J24" s="350"/>
      <c r="K24" s="350"/>
      <c r="L24" s="350"/>
      <c r="M24" s="350"/>
      <c r="N24" s="350"/>
      <c r="O24" s="350"/>
      <c r="P24" s="350"/>
      <c r="Q24" s="350"/>
      <c r="R24" s="349"/>
      <c r="S24" s="349"/>
      <c r="T24" s="349"/>
      <c r="U24" s="349"/>
      <c r="V24" s="106"/>
      <c r="W24" s="83" t="e" vm="1">
        <f t="shared" si="1"/>
        <v>#VALUE!</v>
      </c>
      <c r="X24" s="83"/>
      <c r="Y24" s="160"/>
      <c r="Z24" s="160"/>
      <c r="AA24" s="160"/>
      <c r="AB24" s="161"/>
      <c r="AC24" s="160"/>
      <c r="AD24" s="160"/>
      <c r="AE24" s="160"/>
      <c r="AF24" s="160"/>
      <c r="AG24" s="160"/>
      <c r="AH24" s="160"/>
      <c r="AI24" s="163"/>
      <c r="AJ24" s="163" t="s">
        <v>333</v>
      </c>
      <c r="AK24" s="163"/>
      <c r="AL24" s="160"/>
      <c r="AM24" s="160"/>
      <c r="AN24" s="160"/>
      <c r="AO24" s="160"/>
      <c r="AP24" s="160"/>
      <c r="AQ24" s="160"/>
      <c r="AR24" s="160"/>
      <c r="AS24" s="160"/>
      <c r="AT24" s="160"/>
      <c r="AU24" s="160"/>
      <c r="AV24" s="160"/>
      <c r="AW24" s="160"/>
      <c r="AX24" s="160"/>
      <c r="AY24" s="160"/>
      <c r="AZ24" s="163"/>
      <c r="BA24" s="163" t="e" cm="1" vm="2">
        <f t="array" ref="BA24">_xlfn._xlws.FILTER($AL$7:$AY$7,AL24:AY24= "V")</f>
        <v>#VALUE!</v>
      </c>
      <c r="BB24" s="157"/>
      <c r="BC24" s="157"/>
      <c r="BD24" s="83"/>
      <c r="BE24" s="159"/>
      <c r="BF24" s="159" t="e" cm="1" vm="2">
        <f t="array" ref="BF24">_xlfn._xlws.FILTER($Y$7:$AH$7,Y24:AH24= "V")</f>
        <v>#VALUE!</v>
      </c>
      <c r="BG24" s="83"/>
      <c r="BH24" s="83"/>
      <c r="BI24" s="83"/>
      <c r="BJ24" s="83"/>
      <c r="BK24" s="83"/>
      <c r="BL24" s="83"/>
      <c r="BM24" s="83"/>
      <c r="BN24" s="83"/>
      <c r="BO24" s="83"/>
      <c r="BP24" s="83"/>
      <c r="BQ24" s="83"/>
      <c r="BR24" s="83"/>
      <c r="BS24" s="83"/>
      <c r="BT24" s="83"/>
    </row>
    <row r="25" spans="1:72" s="86" customFormat="1" ht="15.95" customHeight="1">
      <c r="A25" s="97"/>
      <c r="B25" s="97"/>
      <c r="C25" s="97"/>
      <c r="D25" s="97"/>
      <c r="E25" s="97"/>
      <c r="F25" s="97"/>
      <c r="G25" s="97"/>
      <c r="H25" s="97"/>
      <c r="I25" s="97"/>
      <c r="J25" s="97"/>
      <c r="K25" s="97"/>
      <c r="L25" s="97"/>
      <c r="M25" s="97"/>
      <c r="N25" s="97"/>
      <c r="O25" s="97"/>
      <c r="P25" s="97"/>
      <c r="Q25" s="97"/>
      <c r="R25" s="97"/>
      <c r="S25" s="97"/>
      <c r="T25" s="97"/>
      <c r="U25" s="97"/>
      <c r="V25" s="97"/>
      <c r="W25" s="97"/>
      <c r="X25" s="83"/>
      <c r="Y25" s="157"/>
      <c r="Z25" s="157"/>
      <c r="AA25" s="157"/>
      <c r="AB25" s="157"/>
      <c r="AC25" s="157"/>
      <c r="AD25" s="157"/>
      <c r="AE25" s="157"/>
      <c r="AF25" s="157"/>
      <c r="AG25" s="157"/>
      <c r="AH25" s="157"/>
      <c r="AI25" s="83"/>
      <c r="AJ25" s="83"/>
      <c r="AK25" s="83"/>
      <c r="AL25" s="157"/>
      <c r="AM25" s="157"/>
      <c r="AN25" s="157"/>
      <c r="AO25" s="157"/>
      <c r="AP25" s="157"/>
      <c r="AQ25" s="157"/>
      <c r="AR25" s="157"/>
      <c r="AS25" s="157"/>
      <c r="AT25" s="157"/>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row>
    <row r="26" spans="1:72" s="86" customFormat="1" ht="15.95" customHeight="1">
      <c r="A26" s="97"/>
      <c r="B26" s="97"/>
      <c r="C26" s="97"/>
      <c r="D26" s="97"/>
      <c r="E26" s="97"/>
      <c r="F26" s="97"/>
      <c r="G26" s="97"/>
      <c r="H26" s="97"/>
      <c r="I26" s="97"/>
      <c r="J26" s="97"/>
      <c r="K26" s="97"/>
      <c r="L26" s="97"/>
      <c r="M26" s="97"/>
      <c r="N26" s="97"/>
      <c r="O26" s="97"/>
      <c r="P26" s="97"/>
      <c r="Q26" s="97"/>
      <c r="R26" s="97"/>
      <c r="S26" s="97"/>
      <c r="T26" s="97"/>
      <c r="U26" s="97"/>
      <c r="V26" s="97"/>
      <c r="W26" s="97"/>
      <c r="X26" s="83"/>
      <c r="Y26" s="157"/>
      <c r="Z26" s="157"/>
      <c r="AA26" s="157"/>
      <c r="AB26" s="157"/>
      <c r="AC26" s="157"/>
      <c r="AD26" s="157"/>
      <c r="AE26" s="157"/>
      <c r="AF26" s="157"/>
      <c r="AG26" s="157"/>
      <c r="AH26" s="157"/>
      <c r="AI26" s="83"/>
      <c r="AJ26" s="83"/>
      <c r="AK26" s="83"/>
      <c r="AL26" s="157"/>
      <c r="AM26" s="157"/>
      <c r="AN26" s="157"/>
      <c r="AO26" s="157"/>
      <c r="AP26" s="157"/>
      <c r="AQ26" s="157"/>
      <c r="AR26" s="157"/>
      <c r="AS26" s="157"/>
      <c r="AT26" s="157"/>
      <c r="AU26" s="157"/>
      <c r="AV26" s="157"/>
      <c r="AW26" s="157"/>
      <c r="AX26" s="157"/>
      <c r="AY26" s="157"/>
      <c r="AZ26" s="157"/>
      <c r="BA26" s="157"/>
      <c r="BB26" s="157"/>
      <c r="BC26" s="82"/>
      <c r="BD26" s="82"/>
      <c r="BE26" s="82"/>
      <c r="BF26" s="88"/>
      <c r="BG26" s="88"/>
      <c r="BH26" s="88"/>
      <c r="BI26" s="88"/>
      <c r="BJ26" s="88"/>
      <c r="BK26" s="88"/>
      <c r="BL26" s="88"/>
      <c r="BM26" s="88"/>
      <c r="BN26" s="88"/>
      <c r="BO26" s="88"/>
      <c r="BP26" s="88"/>
      <c r="BQ26" s="88"/>
      <c r="BR26" s="88"/>
      <c r="BS26" s="88"/>
      <c r="BT26" s="88"/>
    </row>
    <row r="27" spans="1:72" s="86" customFormat="1" ht="15.95" customHeight="1">
      <c r="A27" s="97" t="s">
        <v>262</v>
      </c>
      <c r="B27" s="97"/>
      <c r="C27" s="97"/>
      <c r="D27" s="97"/>
      <c r="E27" s="352" t="s">
        <v>289</v>
      </c>
      <c r="F27" s="352"/>
      <c r="G27" s="352"/>
      <c r="H27" s="352"/>
      <c r="I27" s="352"/>
      <c r="J27" s="352"/>
      <c r="K27" s="352"/>
      <c r="L27" s="352"/>
      <c r="M27" s="352"/>
      <c r="N27" s="352"/>
      <c r="O27" s="352"/>
      <c r="P27" s="352"/>
      <c r="Q27" s="352"/>
      <c r="R27" s="352"/>
      <c r="S27" s="352"/>
      <c r="T27" s="352"/>
      <c r="U27" s="97"/>
      <c r="V27" s="97"/>
      <c r="W27" s="97"/>
      <c r="X27" s="83"/>
      <c r="Y27" s="157"/>
      <c r="Z27" s="157"/>
      <c r="AA27" s="157"/>
      <c r="AB27" s="157"/>
      <c r="AC27" s="157"/>
      <c r="AD27" s="157"/>
      <c r="AE27" s="157"/>
      <c r="AF27" s="157"/>
      <c r="AG27" s="157"/>
      <c r="AH27" s="157"/>
      <c r="AI27" s="83"/>
      <c r="AJ27" s="83"/>
      <c r="AK27" s="83"/>
      <c r="AL27" s="157"/>
      <c r="AM27" s="157"/>
      <c r="AN27" s="157"/>
      <c r="AO27" s="157"/>
      <c r="AP27" s="157"/>
      <c r="AQ27" s="157"/>
      <c r="AR27" s="157"/>
      <c r="AS27" s="157"/>
      <c r="AT27" s="157"/>
      <c r="AU27" s="158"/>
      <c r="AV27" s="158"/>
      <c r="AW27" s="158"/>
      <c r="AX27" s="158"/>
      <c r="AY27" s="158"/>
      <c r="AZ27" s="158"/>
      <c r="BA27" s="157"/>
      <c r="BB27" s="157"/>
      <c r="BC27" s="95"/>
      <c r="BD27" s="95"/>
      <c r="BE27" s="95"/>
      <c r="BF27" s="96"/>
      <c r="BG27" s="96"/>
      <c r="BH27" s="96"/>
      <c r="BI27" s="96"/>
      <c r="BJ27" s="96"/>
      <c r="BK27" s="96"/>
      <c r="BL27" s="96"/>
      <c r="BM27" s="96"/>
      <c r="BN27" s="96"/>
      <c r="BO27" s="96"/>
      <c r="BP27" s="96"/>
      <c r="BQ27" s="96"/>
      <c r="BR27" s="96"/>
      <c r="BS27" s="96"/>
      <c r="BT27" s="96"/>
    </row>
    <row r="28" spans="1:72" s="86" customFormat="1" ht="15.95" customHeight="1">
      <c r="A28" s="97" t="s">
        <v>264</v>
      </c>
      <c r="B28" s="97"/>
      <c r="C28" s="97"/>
      <c r="D28" s="97"/>
      <c r="E28" s="352" t="s">
        <v>263</v>
      </c>
      <c r="F28" s="352"/>
      <c r="G28" s="352"/>
      <c r="H28" s="352"/>
      <c r="I28" s="352"/>
      <c r="J28" s="352"/>
      <c r="K28" s="352"/>
      <c r="L28" s="352"/>
      <c r="M28" s="352"/>
      <c r="N28" s="352"/>
      <c r="O28" s="352"/>
      <c r="P28" s="352"/>
      <c r="Q28" s="352"/>
      <c r="R28" s="352"/>
      <c r="S28" s="352"/>
      <c r="T28" s="352"/>
      <c r="U28" s="97"/>
      <c r="V28" s="97"/>
      <c r="W28" s="97"/>
      <c r="X28" s="83"/>
      <c r="Y28" s="157"/>
      <c r="Z28" s="157"/>
      <c r="AA28" s="157"/>
      <c r="AB28" s="157"/>
      <c r="AC28" s="157"/>
      <c r="AD28" s="157"/>
      <c r="AE28" s="157"/>
      <c r="AF28" s="157"/>
      <c r="AG28" s="157"/>
      <c r="AH28" s="157"/>
      <c r="AI28" s="83"/>
      <c r="AJ28" s="83"/>
      <c r="AK28" s="83"/>
      <c r="AL28" s="157"/>
      <c r="AM28" s="157"/>
      <c r="AN28" s="157"/>
      <c r="AO28" s="157"/>
      <c r="AP28" s="157"/>
      <c r="AQ28" s="157"/>
      <c r="AR28" s="157"/>
      <c r="AS28" s="157"/>
      <c r="AT28" s="157"/>
      <c r="AU28" s="158"/>
      <c r="AV28" s="158"/>
      <c r="AW28" s="158"/>
      <c r="AX28" s="158"/>
      <c r="AY28" s="158"/>
      <c r="AZ28" s="158"/>
      <c r="BA28" s="157"/>
      <c r="BB28" s="157"/>
      <c r="BC28" s="95"/>
      <c r="BD28" s="95"/>
      <c r="BE28" s="95"/>
      <c r="BF28" s="96"/>
      <c r="BG28" s="96"/>
      <c r="BH28" s="96"/>
      <c r="BI28" s="96"/>
      <c r="BJ28" s="96"/>
      <c r="BK28" s="96"/>
      <c r="BL28" s="96"/>
      <c r="BM28" s="96"/>
      <c r="BN28" s="96"/>
      <c r="BO28" s="96"/>
      <c r="BP28" s="96"/>
      <c r="BQ28" s="96"/>
      <c r="BR28" s="96"/>
      <c r="BS28" s="96"/>
      <c r="BT28" s="96"/>
    </row>
    <row r="29" spans="1:72" s="86" customFormat="1">
      <c r="A29" s="97" t="s">
        <v>265</v>
      </c>
      <c r="B29" s="97"/>
      <c r="C29" s="97"/>
      <c r="D29" s="97"/>
      <c r="E29" s="352" t="s">
        <v>263</v>
      </c>
      <c r="F29" s="352"/>
      <c r="G29" s="352"/>
      <c r="H29" s="352"/>
      <c r="I29" s="352"/>
      <c r="J29" s="352"/>
      <c r="K29" s="352"/>
      <c r="L29" s="352"/>
      <c r="M29" s="352"/>
      <c r="N29" s="352"/>
      <c r="O29" s="352"/>
      <c r="P29" s="352"/>
      <c r="Q29" s="352"/>
      <c r="R29" s="352"/>
      <c r="S29" s="352"/>
      <c r="T29" s="352"/>
      <c r="U29" s="97"/>
      <c r="V29" s="97"/>
      <c r="W29" s="97"/>
      <c r="X29" s="83"/>
      <c r="Y29" s="157"/>
      <c r="Z29" s="157"/>
      <c r="AA29" s="157"/>
      <c r="AB29" s="157"/>
      <c r="AC29" s="157"/>
      <c r="AD29" s="157"/>
      <c r="AE29" s="157"/>
      <c r="AF29" s="157"/>
      <c r="AG29" s="157"/>
      <c r="AH29" s="157"/>
      <c r="AI29" s="83"/>
      <c r="AJ29" s="83"/>
      <c r="AK29" s="83"/>
      <c r="AL29" s="157"/>
      <c r="AM29" s="157"/>
      <c r="AN29" s="157"/>
      <c r="AO29" s="157"/>
      <c r="AP29" s="157"/>
      <c r="AQ29" s="157"/>
      <c r="AR29" s="157"/>
      <c r="AS29" s="157"/>
      <c r="AT29" s="157"/>
      <c r="AU29" s="158"/>
      <c r="AV29" s="158"/>
      <c r="AW29" s="158"/>
      <c r="AX29" s="158"/>
      <c r="AY29" s="158"/>
      <c r="AZ29" s="158"/>
      <c r="BA29" s="157"/>
      <c r="BB29" s="157"/>
      <c r="BC29" s="95"/>
      <c r="BD29" s="95"/>
      <c r="BE29" s="95"/>
      <c r="BF29" s="96"/>
      <c r="BG29" s="96"/>
      <c r="BH29" s="96"/>
      <c r="BI29" s="96"/>
      <c r="BJ29" s="96"/>
      <c r="BK29" s="96"/>
      <c r="BL29" s="96"/>
      <c r="BM29" s="96"/>
      <c r="BN29" s="96"/>
      <c r="BO29" s="96"/>
      <c r="BP29" s="96"/>
      <c r="BQ29" s="96"/>
      <c r="BR29" s="96"/>
      <c r="BS29" s="96"/>
      <c r="BT29" s="96"/>
    </row>
    <row r="30" spans="1:72" s="86" customFormat="1" ht="15.95" customHeight="1">
      <c r="A30" s="97" t="s">
        <v>266</v>
      </c>
      <c r="B30" s="97"/>
      <c r="C30" s="97"/>
      <c r="D30" s="97"/>
      <c r="E30" s="352" t="s">
        <v>263</v>
      </c>
      <c r="F30" s="352"/>
      <c r="G30" s="352"/>
      <c r="H30" s="352"/>
      <c r="I30" s="352"/>
      <c r="J30" s="352"/>
      <c r="K30" s="352"/>
      <c r="L30" s="352"/>
      <c r="M30" s="352"/>
      <c r="N30" s="352"/>
      <c r="O30" s="352"/>
      <c r="P30" s="352"/>
      <c r="Q30" s="352"/>
      <c r="R30" s="352"/>
      <c r="S30" s="352"/>
      <c r="T30" s="352"/>
      <c r="U30" s="97"/>
      <c r="V30" s="97"/>
      <c r="W30" s="97"/>
      <c r="X30" s="83"/>
      <c r="Y30" s="157"/>
      <c r="Z30" s="157"/>
      <c r="AA30" s="157"/>
      <c r="AB30" s="157"/>
      <c r="AC30" s="157"/>
      <c r="AD30" s="157"/>
      <c r="AE30" s="157"/>
      <c r="AF30" s="157"/>
      <c r="AG30" s="157"/>
      <c r="AH30" s="157"/>
      <c r="AI30" s="83"/>
      <c r="AJ30" s="83"/>
      <c r="AK30" s="83"/>
      <c r="AL30" s="157"/>
      <c r="AM30" s="157"/>
      <c r="AN30" s="157"/>
      <c r="AO30" s="157"/>
      <c r="AP30" s="157"/>
      <c r="AQ30" s="157"/>
      <c r="AR30" s="157"/>
      <c r="AS30" s="157"/>
      <c r="AT30" s="157"/>
      <c r="AU30" s="158"/>
      <c r="AV30" s="158"/>
      <c r="AW30" s="158"/>
      <c r="AX30" s="158"/>
      <c r="AY30" s="158"/>
      <c r="AZ30" s="158"/>
      <c r="BA30" s="157"/>
      <c r="BB30" s="157"/>
      <c r="BC30" s="95"/>
      <c r="BD30" s="95"/>
      <c r="BE30" s="95"/>
      <c r="BF30" s="96"/>
      <c r="BG30" s="96"/>
      <c r="BH30" s="96"/>
      <c r="BI30" s="96"/>
      <c r="BJ30" s="96"/>
      <c r="BK30" s="96"/>
      <c r="BL30" s="96"/>
      <c r="BM30" s="96"/>
      <c r="BN30" s="96"/>
      <c r="BO30" s="96"/>
      <c r="BP30" s="96"/>
      <c r="BQ30" s="96"/>
      <c r="BR30" s="96"/>
      <c r="BS30" s="96"/>
      <c r="BT30" s="96"/>
    </row>
    <row r="31" spans="1:72" s="86" customFormat="1" ht="15.95" customHeight="1">
      <c r="A31" s="97" t="s">
        <v>267</v>
      </c>
      <c r="B31" s="97"/>
      <c r="C31" s="97"/>
      <c r="D31" s="97"/>
      <c r="E31" s="352" t="s">
        <v>263</v>
      </c>
      <c r="F31" s="352"/>
      <c r="G31" s="352"/>
      <c r="H31" s="352"/>
      <c r="I31" s="352"/>
      <c r="J31" s="352"/>
      <c r="K31" s="352"/>
      <c r="L31" s="352"/>
      <c r="M31" s="352"/>
      <c r="N31" s="352"/>
      <c r="O31" s="352"/>
      <c r="P31" s="352"/>
      <c r="Q31" s="352"/>
      <c r="R31" s="352"/>
      <c r="S31" s="352"/>
      <c r="T31" s="352"/>
      <c r="U31" s="97"/>
      <c r="V31" s="97"/>
      <c r="W31" s="97"/>
      <c r="X31" s="83"/>
      <c r="Y31" s="157"/>
      <c r="Z31" s="157"/>
      <c r="AA31" s="157"/>
      <c r="AB31" s="157"/>
      <c r="AC31" s="157"/>
      <c r="AD31" s="157"/>
      <c r="AE31" s="157"/>
      <c r="AF31" s="157"/>
      <c r="AG31" s="157"/>
      <c r="AH31" s="157"/>
      <c r="AI31" s="83"/>
      <c r="AJ31" s="83"/>
      <c r="AK31" s="83"/>
      <c r="AL31" s="157"/>
      <c r="AM31" s="157"/>
      <c r="AN31" s="157"/>
      <c r="AO31" s="157"/>
      <c r="AP31" s="157"/>
      <c r="AQ31" s="157"/>
      <c r="AR31" s="157"/>
      <c r="AS31" s="157"/>
      <c r="AT31" s="157"/>
      <c r="AU31" s="158"/>
      <c r="AV31" s="158"/>
      <c r="AW31" s="158"/>
      <c r="AX31" s="158"/>
      <c r="AY31" s="158"/>
      <c r="AZ31" s="158"/>
      <c r="BA31" s="157"/>
      <c r="BB31" s="157"/>
      <c r="BC31" s="95"/>
      <c r="BD31" s="95"/>
      <c r="BE31" s="95"/>
      <c r="BF31" s="96"/>
      <c r="BG31" s="96"/>
      <c r="BH31" s="96"/>
      <c r="BI31" s="96"/>
      <c r="BJ31" s="96"/>
      <c r="BK31" s="96"/>
      <c r="BL31" s="96"/>
      <c r="BM31" s="96"/>
      <c r="BN31" s="96"/>
      <c r="BO31" s="96"/>
      <c r="BP31" s="96"/>
      <c r="BQ31" s="96"/>
      <c r="BR31" s="96"/>
      <c r="BS31" s="96"/>
      <c r="BT31" s="96"/>
    </row>
    <row r="32" spans="1:72" s="86" customFormat="1" ht="15.95" customHeight="1">
      <c r="A32" s="97"/>
      <c r="B32" s="97"/>
      <c r="C32" s="97"/>
      <c r="D32" s="97"/>
      <c r="E32" s="97"/>
      <c r="F32" s="97"/>
      <c r="G32" s="97"/>
      <c r="H32" s="97"/>
      <c r="I32" s="97"/>
      <c r="J32" s="97"/>
      <c r="K32" s="97"/>
      <c r="L32" s="97"/>
      <c r="M32" s="97"/>
      <c r="N32" s="97"/>
      <c r="O32" s="97"/>
      <c r="P32" s="97"/>
      <c r="Q32" s="97"/>
      <c r="R32" s="97"/>
      <c r="S32" s="97"/>
      <c r="T32" s="97"/>
      <c r="U32" s="97"/>
      <c r="V32" s="97"/>
      <c r="W32" s="97"/>
      <c r="X32" s="83"/>
      <c r="Y32" s="157"/>
      <c r="Z32" s="157"/>
      <c r="AA32" s="157"/>
      <c r="AB32" s="157"/>
      <c r="AC32" s="157"/>
      <c r="AD32" s="157"/>
      <c r="AE32" s="157"/>
      <c r="AF32" s="157"/>
      <c r="AG32" s="157"/>
      <c r="AH32" s="157"/>
      <c r="AI32" s="83"/>
      <c r="AJ32" s="83"/>
      <c r="AK32" s="83"/>
      <c r="AL32" s="157"/>
      <c r="AM32" s="157"/>
      <c r="AN32" s="157"/>
      <c r="AO32" s="157"/>
      <c r="AP32" s="157"/>
      <c r="AQ32" s="157"/>
      <c r="AR32" s="157"/>
      <c r="AS32" s="157"/>
      <c r="AT32" s="157"/>
      <c r="AU32" s="158"/>
      <c r="AV32" s="158"/>
      <c r="AW32" s="158"/>
      <c r="AX32" s="158"/>
      <c r="AY32" s="158"/>
      <c r="AZ32" s="158"/>
      <c r="BA32" s="157"/>
      <c r="BB32" s="157"/>
      <c r="BC32" s="95"/>
      <c r="BD32" s="95"/>
      <c r="BE32" s="95"/>
      <c r="BF32" s="96"/>
      <c r="BG32" s="96"/>
      <c r="BH32" s="96"/>
      <c r="BI32" s="96"/>
      <c r="BJ32" s="96"/>
      <c r="BK32" s="96"/>
      <c r="BL32" s="96"/>
      <c r="BM32" s="96"/>
      <c r="BN32" s="96"/>
      <c r="BO32" s="96"/>
      <c r="BP32" s="96"/>
      <c r="BQ32" s="96"/>
      <c r="BR32" s="96"/>
      <c r="BS32" s="96"/>
      <c r="BT32" s="96"/>
    </row>
    <row r="33" spans="1:72" s="86" customFormat="1" ht="15.95" customHeight="1">
      <c r="A33" s="97"/>
      <c r="B33" s="97"/>
      <c r="C33" s="97"/>
      <c r="D33" s="97"/>
      <c r="E33" s="97"/>
      <c r="F33" s="97"/>
      <c r="G33" s="97"/>
      <c r="H33" s="97"/>
      <c r="I33" s="97"/>
      <c r="J33" s="97"/>
      <c r="K33" s="97"/>
      <c r="L33" s="97"/>
      <c r="M33" s="97"/>
      <c r="N33" s="97"/>
      <c r="O33" s="97"/>
      <c r="P33" s="97"/>
      <c r="Q33" s="97"/>
      <c r="R33" s="97"/>
      <c r="S33" s="97"/>
      <c r="T33" s="97"/>
      <c r="U33" s="97"/>
      <c r="V33" s="97"/>
      <c r="W33" s="97"/>
      <c r="X33" s="83"/>
      <c r="Y33" s="157"/>
      <c r="Z33" s="157"/>
      <c r="AA33" s="157"/>
      <c r="AB33" s="157"/>
      <c r="AC33" s="157"/>
      <c r="AD33" s="157"/>
      <c r="AE33" s="157"/>
      <c r="AF33" s="157"/>
      <c r="AG33" s="157"/>
      <c r="AH33" s="157"/>
      <c r="AI33" s="83"/>
      <c r="AJ33" s="83"/>
      <c r="AK33" s="83"/>
      <c r="AL33" s="157"/>
      <c r="AM33" s="157"/>
      <c r="AN33" s="157"/>
      <c r="AO33" s="157"/>
      <c r="AP33" s="157"/>
      <c r="AQ33" s="157"/>
      <c r="AR33" s="157"/>
      <c r="AS33" s="157"/>
      <c r="AT33" s="157"/>
      <c r="AU33" s="158"/>
      <c r="AV33" s="158"/>
      <c r="AW33" s="158"/>
      <c r="AX33" s="158"/>
      <c r="AY33" s="158"/>
      <c r="AZ33" s="158"/>
      <c r="BA33" s="157"/>
      <c r="BB33" s="157"/>
      <c r="BC33" s="95"/>
      <c r="BD33" s="95"/>
      <c r="BE33" s="95"/>
      <c r="BF33" s="96"/>
      <c r="BG33" s="96"/>
      <c r="BH33" s="96"/>
      <c r="BI33" s="96"/>
      <c r="BJ33" s="96"/>
      <c r="BK33" s="96"/>
      <c r="BL33" s="96"/>
      <c r="BM33" s="96"/>
      <c r="BN33" s="96"/>
      <c r="BO33" s="96"/>
      <c r="BP33" s="96"/>
      <c r="BQ33" s="96"/>
      <c r="BR33" s="96"/>
      <c r="BS33" s="96"/>
      <c r="BT33" s="96"/>
    </row>
    <row r="34" spans="1:72" s="86" customFormat="1" ht="15.95" customHeight="1">
      <c r="A34" s="97"/>
      <c r="B34" s="97"/>
      <c r="C34" s="97"/>
      <c r="D34" s="97"/>
      <c r="E34" s="97"/>
      <c r="F34" s="97"/>
      <c r="G34" s="97"/>
      <c r="H34" s="97"/>
      <c r="I34" s="97"/>
      <c r="J34" s="97"/>
      <c r="K34" s="97"/>
      <c r="L34" s="97"/>
      <c r="M34" s="97"/>
      <c r="N34" s="97"/>
      <c r="O34" s="97"/>
      <c r="P34" s="97"/>
      <c r="Q34" s="97"/>
      <c r="R34" s="97"/>
      <c r="S34" s="97"/>
      <c r="T34" s="97"/>
      <c r="U34" s="97"/>
      <c r="V34" s="97"/>
      <c r="W34" s="97"/>
      <c r="X34" s="83"/>
      <c r="Y34" s="157"/>
      <c r="Z34" s="157"/>
      <c r="AA34" s="157"/>
      <c r="AB34" s="157"/>
      <c r="AC34" s="157"/>
      <c r="AD34" s="157"/>
      <c r="AE34" s="157"/>
      <c r="AF34" s="157"/>
      <c r="AG34" s="157"/>
      <c r="AH34" s="157"/>
      <c r="AI34" s="83"/>
      <c r="AJ34" s="83"/>
      <c r="AK34" s="83"/>
      <c r="AL34" s="157"/>
      <c r="AM34" s="157"/>
      <c r="AN34" s="157"/>
      <c r="AO34" s="157"/>
      <c r="AP34" s="157"/>
      <c r="AQ34" s="157"/>
      <c r="AR34" s="157"/>
      <c r="AS34" s="157"/>
      <c r="AT34" s="157"/>
      <c r="AU34" s="158"/>
      <c r="AV34" s="158"/>
      <c r="AW34" s="158"/>
      <c r="AX34" s="158"/>
      <c r="AY34" s="158"/>
      <c r="AZ34" s="158"/>
      <c r="BA34" s="157"/>
      <c r="BB34" s="157"/>
      <c r="BC34" s="95"/>
      <c r="BD34" s="95"/>
      <c r="BE34" s="95"/>
      <c r="BF34" s="96"/>
      <c r="BG34" s="96"/>
      <c r="BH34" s="96"/>
      <c r="BI34" s="96"/>
      <c r="BJ34" s="96"/>
      <c r="BK34" s="96"/>
      <c r="BL34" s="96"/>
      <c r="BM34" s="96"/>
      <c r="BN34" s="96"/>
      <c r="BO34" s="96"/>
      <c r="BP34" s="96"/>
      <c r="BQ34" s="96"/>
      <c r="BR34" s="96"/>
      <c r="BS34" s="96"/>
      <c r="BT34" s="96"/>
    </row>
    <row r="35" spans="1:72" s="86" customFormat="1" ht="15.95" customHeight="1">
      <c r="A35" s="97"/>
      <c r="B35" s="97"/>
      <c r="C35" s="97"/>
      <c r="D35" s="97"/>
      <c r="E35" s="97"/>
      <c r="F35" s="97"/>
      <c r="G35" s="97"/>
      <c r="H35" s="97"/>
      <c r="I35" s="97"/>
      <c r="J35" s="97"/>
      <c r="K35" s="97"/>
      <c r="L35" s="97"/>
      <c r="M35" s="97"/>
      <c r="N35" s="97"/>
      <c r="O35" s="97"/>
      <c r="P35" s="97"/>
      <c r="Q35" s="97"/>
      <c r="R35" s="97"/>
      <c r="S35" s="97"/>
      <c r="T35" s="97"/>
      <c r="U35" s="97"/>
      <c r="V35" s="97"/>
      <c r="W35" s="97"/>
      <c r="X35" s="83"/>
      <c r="Y35" s="157"/>
      <c r="Z35" s="157"/>
      <c r="AA35" s="157"/>
      <c r="AB35" s="157"/>
      <c r="AC35" s="157"/>
      <c r="AD35" s="157"/>
      <c r="AE35" s="157"/>
      <c r="AF35" s="157"/>
      <c r="AG35" s="157"/>
      <c r="AH35" s="157"/>
      <c r="AI35" s="83"/>
      <c r="AJ35" s="83"/>
      <c r="AK35" s="83"/>
      <c r="AL35" s="157"/>
      <c r="AM35" s="157"/>
      <c r="AN35" s="157"/>
      <c r="AO35" s="157"/>
      <c r="AP35" s="157"/>
      <c r="AQ35" s="157"/>
      <c r="AR35" s="157"/>
      <c r="AS35" s="157"/>
      <c r="AT35" s="157"/>
      <c r="AU35" s="158"/>
      <c r="AV35" s="158"/>
      <c r="AW35" s="158"/>
      <c r="AX35" s="158"/>
      <c r="AY35" s="158"/>
      <c r="AZ35" s="158"/>
      <c r="BA35" s="157"/>
      <c r="BB35" s="157"/>
      <c r="BC35" s="95"/>
      <c r="BD35" s="95"/>
      <c r="BE35" s="95"/>
      <c r="BF35" s="96"/>
      <c r="BG35" s="96"/>
      <c r="BH35" s="96"/>
      <c r="BI35" s="96"/>
      <c r="BJ35" s="96"/>
      <c r="BK35" s="96"/>
      <c r="BL35" s="96"/>
      <c r="BM35" s="96"/>
      <c r="BN35" s="96"/>
      <c r="BO35" s="96"/>
      <c r="BP35" s="96"/>
      <c r="BQ35" s="96"/>
      <c r="BR35" s="96"/>
      <c r="BS35" s="96"/>
      <c r="BT35" s="96"/>
    </row>
    <row r="36" spans="1:72" s="86" customFormat="1" ht="15.95" customHeight="1">
      <c r="A36" s="97"/>
      <c r="B36" s="97"/>
      <c r="C36" s="97"/>
      <c r="D36" s="97"/>
      <c r="E36" s="97"/>
      <c r="F36" s="97"/>
      <c r="G36" s="97"/>
      <c r="H36" s="97"/>
      <c r="I36" s="97"/>
      <c r="J36" s="97"/>
      <c r="K36" s="97"/>
      <c r="L36" s="97"/>
      <c r="M36" s="97"/>
      <c r="N36" s="97"/>
      <c r="O36" s="97"/>
      <c r="P36" s="97"/>
      <c r="Q36" s="97"/>
      <c r="R36" s="97"/>
      <c r="S36" s="97"/>
      <c r="T36" s="97"/>
      <c r="U36" s="97"/>
      <c r="V36" s="97"/>
      <c r="W36" s="97"/>
      <c r="X36" s="83"/>
      <c r="Y36" s="157"/>
      <c r="Z36" s="157"/>
      <c r="AA36" s="157"/>
      <c r="AB36" s="157"/>
      <c r="AC36" s="157"/>
      <c r="AD36" s="157"/>
      <c r="AE36" s="157"/>
      <c r="AF36" s="157"/>
      <c r="AG36" s="157"/>
      <c r="AH36" s="157"/>
      <c r="AI36" s="83"/>
      <c r="AJ36" s="83"/>
      <c r="AK36" s="83"/>
      <c r="AL36" s="157"/>
      <c r="AM36" s="157"/>
      <c r="AN36" s="157"/>
      <c r="AO36" s="157"/>
      <c r="AP36" s="157"/>
      <c r="AQ36" s="157"/>
      <c r="AR36" s="157"/>
      <c r="AS36" s="157"/>
      <c r="AT36" s="157"/>
      <c r="AU36" s="158"/>
      <c r="AV36" s="158"/>
      <c r="AW36" s="158"/>
      <c r="AX36" s="158"/>
      <c r="AY36" s="158"/>
      <c r="AZ36" s="158"/>
      <c r="BA36" s="157"/>
      <c r="BB36" s="157"/>
      <c r="BC36" s="95"/>
      <c r="BD36" s="95"/>
      <c r="BE36" s="95"/>
      <c r="BF36" s="96"/>
      <c r="BG36" s="96"/>
      <c r="BH36" s="96"/>
      <c r="BI36" s="96"/>
      <c r="BJ36" s="96"/>
      <c r="BK36" s="96"/>
      <c r="BL36" s="96"/>
      <c r="BM36" s="96"/>
      <c r="BN36" s="96"/>
      <c r="BO36" s="96"/>
      <c r="BP36" s="96"/>
      <c r="BQ36" s="96"/>
      <c r="BR36" s="96"/>
      <c r="BS36" s="96"/>
      <c r="BT36" s="96"/>
    </row>
    <row r="37" spans="1:72" s="86" customFormat="1" ht="15.95" customHeight="1">
      <c r="A37" s="97"/>
      <c r="B37" s="97"/>
      <c r="C37" s="97"/>
      <c r="D37" s="97"/>
      <c r="E37" s="97"/>
      <c r="F37" s="97"/>
      <c r="G37" s="97"/>
      <c r="H37" s="97"/>
      <c r="I37" s="97"/>
      <c r="J37" s="97"/>
      <c r="K37" s="97"/>
      <c r="L37" s="97"/>
      <c r="M37" s="97"/>
      <c r="N37" s="97"/>
      <c r="O37" s="97"/>
      <c r="P37" s="97"/>
      <c r="Q37" s="97"/>
      <c r="R37" s="97"/>
      <c r="S37" s="97"/>
      <c r="T37" s="97"/>
      <c r="U37" s="97"/>
      <c r="V37" s="97"/>
      <c r="W37" s="97"/>
      <c r="X37" s="83"/>
      <c r="Y37" s="157"/>
      <c r="Z37" s="157"/>
      <c r="AA37" s="157"/>
      <c r="AB37" s="157"/>
      <c r="AC37" s="157"/>
      <c r="AD37" s="157"/>
      <c r="AE37" s="157"/>
      <c r="AF37" s="157"/>
      <c r="AG37" s="157"/>
      <c r="AH37" s="157"/>
      <c r="AI37" s="83"/>
      <c r="AJ37" s="83"/>
      <c r="AK37" s="83"/>
      <c r="AL37" s="157"/>
      <c r="AM37" s="157"/>
      <c r="AN37" s="157"/>
      <c r="AO37" s="157"/>
      <c r="AP37" s="157"/>
      <c r="AQ37" s="157"/>
      <c r="AR37" s="157"/>
      <c r="AS37" s="157"/>
      <c r="AT37" s="157"/>
      <c r="AU37" s="158"/>
      <c r="AV37" s="158"/>
      <c r="AW37" s="158"/>
      <c r="AX37" s="158"/>
      <c r="AY37" s="158"/>
      <c r="AZ37" s="158"/>
      <c r="BA37" s="157"/>
      <c r="BB37" s="157"/>
      <c r="BC37" s="95"/>
      <c r="BD37" s="95"/>
      <c r="BE37" s="95"/>
      <c r="BF37" s="96"/>
      <c r="BG37" s="96"/>
      <c r="BH37" s="96"/>
      <c r="BI37" s="96"/>
      <c r="BJ37" s="96"/>
      <c r="BK37" s="96"/>
      <c r="BL37" s="96"/>
      <c r="BM37" s="96"/>
      <c r="BN37" s="96"/>
      <c r="BO37" s="96"/>
      <c r="BP37" s="96"/>
      <c r="BQ37" s="96"/>
      <c r="BR37" s="96"/>
      <c r="BS37" s="96"/>
      <c r="BT37" s="96"/>
    </row>
    <row r="38" spans="1:72" s="86" customFormat="1" ht="15.95" customHeight="1">
      <c r="A38" s="97"/>
      <c r="B38" s="97"/>
      <c r="C38" s="97"/>
      <c r="D38" s="97"/>
      <c r="E38" s="97"/>
      <c r="F38" s="97"/>
      <c r="G38" s="97"/>
      <c r="H38" s="97"/>
      <c r="I38" s="97"/>
      <c r="J38" s="97"/>
      <c r="K38" s="97"/>
      <c r="L38" s="97"/>
      <c r="M38" s="97"/>
      <c r="N38" s="97"/>
      <c r="O38" s="97"/>
      <c r="P38" s="97"/>
      <c r="Q38" s="97"/>
      <c r="R38" s="97"/>
      <c r="S38" s="97"/>
      <c r="T38" s="97"/>
      <c r="U38" s="97"/>
      <c r="V38" s="97"/>
      <c r="W38" s="97"/>
      <c r="X38" s="83"/>
      <c r="Y38" s="157"/>
      <c r="Z38" s="157"/>
      <c r="AA38" s="157"/>
      <c r="AB38" s="157"/>
      <c r="AC38" s="157"/>
      <c r="AD38" s="157"/>
      <c r="AE38" s="157"/>
      <c r="AF38" s="157"/>
      <c r="AG38" s="157"/>
      <c r="AH38" s="157"/>
      <c r="AI38" s="83"/>
      <c r="AJ38" s="83"/>
      <c r="AK38" s="83"/>
      <c r="AL38" s="157"/>
      <c r="AM38" s="157"/>
      <c r="AN38" s="157"/>
      <c r="AO38" s="157"/>
      <c r="AP38" s="157"/>
      <c r="AQ38" s="157"/>
      <c r="AR38" s="157"/>
      <c r="AS38" s="157"/>
      <c r="AT38" s="157"/>
      <c r="AU38" s="158"/>
      <c r="AV38" s="158"/>
      <c r="AW38" s="158"/>
      <c r="AX38" s="158"/>
      <c r="AY38" s="158"/>
      <c r="AZ38" s="158"/>
      <c r="BA38" s="157"/>
      <c r="BB38" s="157"/>
      <c r="BC38" s="95"/>
      <c r="BD38" s="95"/>
      <c r="BE38" s="95"/>
      <c r="BF38" s="96"/>
      <c r="BG38" s="96"/>
      <c r="BH38" s="96"/>
      <c r="BI38" s="96"/>
      <c r="BJ38" s="96"/>
      <c r="BK38" s="96"/>
      <c r="BL38" s="96"/>
      <c r="BM38" s="96"/>
      <c r="BN38" s="96"/>
      <c r="BO38" s="96"/>
      <c r="BP38" s="96"/>
      <c r="BQ38" s="96"/>
      <c r="BR38" s="96"/>
      <c r="BS38" s="96"/>
      <c r="BT38" s="96"/>
    </row>
    <row r="39" spans="1:72" s="86" customFormat="1" ht="15.95" customHeight="1">
      <c r="A39" s="97"/>
      <c r="B39" s="97"/>
      <c r="C39" s="97"/>
      <c r="D39" s="97"/>
      <c r="E39" s="97"/>
      <c r="F39" s="97"/>
      <c r="G39" s="97"/>
      <c r="H39" s="97"/>
      <c r="I39" s="97"/>
      <c r="J39" s="97"/>
      <c r="K39" s="97"/>
      <c r="L39" s="97"/>
      <c r="M39" s="97"/>
      <c r="N39" s="97"/>
      <c r="O39" s="97"/>
      <c r="P39" s="97"/>
      <c r="Q39" s="97"/>
      <c r="R39" s="97"/>
      <c r="S39" s="97"/>
      <c r="T39" s="97"/>
      <c r="U39" s="97"/>
      <c r="V39" s="99"/>
      <c r="W39" s="99"/>
      <c r="X39" s="83"/>
      <c r="Y39" s="157"/>
      <c r="Z39" s="157"/>
      <c r="AA39" s="157"/>
      <c r="AB39" s="157"/>
      <c r="AC39" s="157"/>
      <c r="AD39" s="157"/>
      <c r="AE39" s="157"/>
      <c r="AF39" s="157"/>
      <c r="AG39" s="157"/>
      <c r="AH39" s="157"/>
      <c r="AI39" s="83"/>
      <c r="AJ39" s="83"/>
      <c r="AK39" s="83"/>
      <c r="AL39" s="157"/>
      <c r="AM39" s="157"/>
      <c r="AN39" s="157"/>
      <c r="AO39" s="157"/>
      <c r="AP39" s="157"/>
      <c r="AQ39" s="157"/>
      <c r="AR39" s="157"/>
      <c r="AS39" s="157"/>
      <c r="AT39" s="157"/>
      <c r="AU39" s="158"/>
      <c r="AV39" s="158"/>
      <c r="AW39" s="158"/>
      <c r="AX39" s="158"/>
      <c r="AY39" s="158"/>
      <c r="AZ39" s="158"/>
      <c r="BA39" s="157"/>
      <c r="BB39" s="157"/>
      <c r="BC39" s="95"/>
      <c r="BD39" s="95"/>
      <c r="BE39" s="95"/>
      <c r="BF39" s="96"/>
      <c r="BG39" s="96"/>
      <c r="BH39" s="96"/>
      <c r="BI39" s="96"/>
      <c r="BJ39" s="96"/>
      <c r="BK39" s="96"/>
      <c r="BL39" s="96"/>
      <c r="BM39" s="96"/>
      <c r="BN39" s="96"/>
      <c r="BO39" s="96"/>
      <c r="BP39" s="96"/>
      <c r="BQ39" s="96"/>
      <c r="BR39" s="96"/>
      <c r="BS39" s="96"/>
      <c r="BT39" s="96"/>
    </row>
    <row r="40" spans="1:72" s="86" customFormat="1" ht="15.95" customHeight="1">
      <c r="A40" s="83"/>
      <c r="B40" s="83"/>
      <c r="C40" s="83"/>
      <c r="D40" s="83"/>
      <c r="E40" s="83"/>
      <c r="F40" s="83"/>
      <c r="G40" s="83"/>
      <c r="H40" s="83"/>
      <c r="I40" s="83"/>
      <c r="J40" s="108"/>
      <c r="K40" s="83"/>
      <c r="L40" s="83"/>
      <c r="M40" s="83"/>
      <c r="N40" s="83"/>
      <c r="O40" s="83"/>
      <c r="P40" s="83"/>
      <c r="Q40" s="108"/>
      <c r="R40" s="83"/>
      <c r="S40" s="83"/>
      <c r="T40" s="83"/>
      <c r="U40" s="83"/>
      <c r="V40" s="83"/>
      <c r="W40" s="83"/>
      <c r="X40" s="83"/>
      <c r="Y40" s="157"/>
      <c r="Z40" s="157"/>
      <c r="AA40" s="157"/>
      <c r="AB40" s="157"/>
      <c r="AC40" s="157"/>
      <c r="AD40" s="157"/>
      <c r="AE40" s="157"/>
      <c r="AF40" s="157"/>
      <c r="AG40" s="157"/>
      <c r="AH40" s="157"/>
      <c r="AI40" s="83"/>
      <c r="AJ40" s="83"/>
      <c r="AK40" s="83"/>
      <c r="AL40" s="157"/>
      <c r="AM40" s="157"/>
      <c r="AN40" s="157"/>
      <c r="AO40" s="157"/>
      <c r="AP40" s="157"/>
      <c r="AQ40" s="157"/>
      <c r="AR40" s="157"/>
      <c r="AS40" s="157"/>
      <c r="AT40" s="157"/>
      <c r="AU40" s="158"/>
      <c r="AV40" s="158"/>
      <c r="AW40" s="158"/>
      <c r="AX40" s="158"/>
      <c r="AY40" s="158"/>
      <c r="AZ40" s="158"/>
      <c r="BA40" s="157"/>
      <c r="BB40" s="157"/>
      <c r="BC40" s="95"/>
      <c r="BD40" s="95"/>
      <c r="BE40" s="95"/>
      <c r="BF40" s="96"/>
      <c r="BG40" s="96"/>
      <c r="BH40" s="96"/>
      <c r="BI40" s="96"/>
      <c r="BJ40" s="96"/>
      <c r="BK40" s="96"/>
      <c r="BL40" s="96"/>
      <c r="BM40" s="96"/>
      <c r="BN40" s="96"/>
      <c r="BO40" s="96"/>
      <c r="BP40" s="96"/>
      <c r="BQ40" s="96"/>
      <c r="BR40" s="96"/>
      <c r="BS40" s="96"/>
      <c r="BT40" s="96"/>
    </row>
    <row r="41" spans="1:72" s="86" customFormat="1" ht="15.95" customHeight="1">
      <c r="A41" s="97"/>
      <c r="B41" s="97"/>
      <c r="C41" s="97"/>
      <c r="D41" s="97"/>
      <c r="E41" s="97"/>
      <c r="F41" s="97"/>
      <c r="G41" s="119"/>
      <c r="H41" s="119"/>
      <c r="I41" s="97"/>
      <c r="J41" s="97"/>
      <c r="K41" s="119"/>
      <c r="L41" s="119"/>
      <c r="M41" s="119"/>
      <c r="N41" s="97"/>
      <c r="O41" s="119"/>
      <c r="P41" s="97"/>
      <c r="Q41" s="97"/>
      <c r="R41" s="119"/>
      <c r="S41" s="119"/>
      <c r="T41" s="119"/>
      <c r="U41" s="97"/>
      <c r="V41" s="119"/>
      <c r="W41" s="119"/>
      <c r="X41" s="83"/>
      <c r="Y41" s="157"/>
      <c r="Z41" s="157"/>
      <c r="AA41" s="157"/>
      <c r="AB41" s="157"/>
      <c r="AC41" s="157"/>
      <c r="AD41" s="157"/>
      <c r="AE41" s="157"/>
      <c r="AF41" s="157"/>
      <c r="AG41" s="157"/>
      <c r="AH41" s="157"/>
      <c r="AI41" s="83"/>
      <c r="AJ41" s="83"/>
      <c r="AK41" s="83"/>
      <c r="AL41" s="157"/>
      <c r="AM41" s="157"/>
      <c r="AN41" s="157"/>
      <c r="AO41" s="157"/>
      <c r="AP41" s="157"/>
      <c r="AQ41" s="157"/>
      <c r="AR41" s="157"/>
      <c r="AS41" s="157"/>
      <c r="AT41" s="157"/>
      <c r="AU41" s="158"/>
      <c r="AV41" s="158"/>
      <c r="AW41" s="158"/>
      <c r="AX41" s="158"/>
      <c r="AY41" s="158"/>
      <c r="AZ41" s="158"/>
      <c r="BA41" s="157"/>
      <c r="BB41" s="157"/>
      <c r="BC41" s="95"/>
      <c r="BD41" s="95"/>
      <c r="BE41" s="95"/>
      <c r="BF41" s="96"/>
      <c r="BG41" s="96"/>
      <c r="BH41" s="96"/>
      <c r="BI41" s="96"/>
      <c r="BJ41" s="96"/>
      <c r="BK41" s="96"/>
      <c r="BL41" s="96"/>
      <c r="BM41" s="96"/>
      <c r="BN41" s="96"/>
      <c r="BO41" s="96"/>
      <c r="BP41" s="96"/>
      <c r="BQ41" s="96"/>
      <c r="BR41" s="96"/>
      <c r="BS41" s="96"/>
      <c r="BT41" s="96"/>
    </row>
    <row r="42" spans="1:72" s="86" customFormat="1" ht="15.95" customHeight="1">
      <c r="A42" s="97"/>
      <c r="B42" s="97"/>
      <c r="C42" s="97"/>
      <c r="D42" s="97"/>
      <c r="E42" s="97"/>
      <c r="F42" s="97"/>
      <c r="G42" s="119"/>
      <c r="H42" s="119"/>
      <c r="I42" s="97"/>
      <c r="J42" s="97"/>
      <c r="K42" s="119"/>
      <c r="L42" s="119"/>
      <c r="M42" s="119"/>
      <c r="N42" s="97"/>
      <c r="O42" s="119"/>
      <c r="P42" s="97"/>
      <c r="Q42" s="97"/>
      <c r="R42" s="119"/>
      <c r="S42" s="119"/>
      <c r="T42" s="119"/>
      <c r="U42" s="97"/>
      <c r="V42" s="119"/>
      <c r="W42" s="119"/>
      <c r="X42" s="83"/>
      <c r="Y42" s="157"/>
      <c r="Z42" s="157"/>
      <c r="AA42" s="157"/>
      <c r="AB42" s="157"/>
      <c r="AC42" s="157"/>
      <c r="AD42" s="157"/>
      <c r="AE42" s="157"/>
      <c r="AF42" s="157"/>
      <c r="AG42" s="157"/>
      <c r="AH42" s="157"/>
      <c r="AI42" s="83"/>
      <c r="AJ42" s="83"/>
      <c r="AK42" s="83"/>
      <c r="AL42" s="157"/>
      <c r="AM42" s="157"/>
      <c r="AN42" s="157"/>
      <c r="AO42" s="157"/>
      <c r="AP42" s="157"/>
      <c r="AQ42" s="157"/>
      <c r="AR42" s="157"/>
      <c r="AS42" s="157"/>
      <c r="AT42" s="157"/>
      <c r="AU42" s="158"/>
      <c r="AV42" s="158"/>
      <c r="AW42" s="158"/>
      <c r="AX42" s="158"/>
      <c r="AY42" s="158"/>
      <c r="AZ42" s="158"/>
      <c r="BA42" s="157"/>
      <c r="BB42" s="157"/>
      <c r="BC42" s="95"/>
      <c r="BD42" s="95"/>
      <c r="BE42" s="95"/>
      <c r="BF42" s="96"/>
      <c r="BG42" s="96"/>
      <c r="BH42" s="96"/>
      <c r="BI42" s="96"/>
      <c r="BJ42" s="96"/>
      <c r="BK42" s="96"/>
      <c r="BL42" s="96"/>
      <c r="BM42" s="96"/>
      <c r="BN42" s="96"/>
      <c r="BO42" s="96"/>
      <c r="BP42" s="96"/>
      <c r="BQ42" s="96"/>
      <c r="BR42" s="96"/>
      <c r="BS42" s="96"/>
      <c r="BT42" s="96"/>
    </row>
    <row r="43" spans="1:72" s="86" customFormat="1" ht="15.95" customHeight="1">
      <c r="A43" s="97"/>
      <c r="B43" s="97"/>
      <c r="C43" s="97"/>
      <c r="D43" s="97"/>
      <c r="E43" s="97"/>
      <c r="F43" s="97"/>
      <c r="G43" s="119"/>
      <c r="H43" s="119"/>
      <c r="I43" s="97"/>
      <c r="J43" s="97"/>
      <c r="K43" s="119"/>
      <c r="L43" s="119"/>
      <c r="M43" s="119"/>
      <c r="N43" s="97"/>
      <c r="O43" s="119"/>
      <c r="P43" s="97"/>
      <c r="Q43" s="97"/>
      <c r="R43" s="119"/>
      <c r="S43" s="119"/>
      <c r="T43" s="119"/>
      <c r="U43" s="97"/>
      <c r="V43" s="119"/>
      <c r="W43" s="119"/>
      <c r="X43" s="83"/>
      <c r="Y43" s="157"/>
      <c r="Z43" s="157"/>
      <c r="AA43" s="157"/>
      <c r="AB43" s="157"/>
      <c r="AC43" s="157"/>
      <c r="AD43" s="157"/>
      <c r="AE43" s="157"/>
      <c r="AF43" s="157"/>
      <c r="AG43" s="157"/>
      <c r="AH43" s="157"/>
      <c r="AI43" s="83"/>
      <c r="AJ43" s="83"/>
      <c r="AK43" s="83"/>
      <c r="AL43" s="157"/>
      <c r="AM43" s="157"/>
      <c r="AN43" s="157"/>
      <c r="AO43" s="157"/>
      <c r="AP43" s="157"/>
      <c r="AQ43" s="157"/>
      <c r="AR43" s="157"/>
      <c r="AS43" s="157"/>
      <c r="AT43" s="157"/>
      <c r="AU43" s="158"/>
      <c r="AV43" s="158"/>
      <c r="AW43" s="158"/>
      <c r="AX43" s="158"/>
      <c r="AY43" s="158"/>
      <c r="AZ43" s="158"/>
      <c r="BA43" s="157"/>
      <c r="BB43" s="157"/>
      <c r="BC43" s="95"/>
      <c r="BD43" s="95"/>
      <c r="BE43" s="95"/>
      <c r="BF43" s="96"/>
      <c r="BG43" s="96"/>
      <c r="BH43" s="96"/>
      <c r="BI43" s="96"/>
      <c r="BJ43" s="96"/>
      <c r="BK43" s="96"/>
      <c r="BL43" s="96"/>
      <c r="BM43" s="96"/>
      <c r="BN43" s="96"/>
      <c r="BO43" s="96"/>
      <c r="BP43" s="96"/>
      <c r="BQ43" s="96"/>
      <c r="BR43" s="96"/>
      <c r="BS43" s="96"/>
      <c r="BT43" s="96"/>
    </row>
    <row r="44" spans="1:72" s="86" customFormat="1" ht="15.95" customHeight="1">
      <c r="A44" s="97"/>
      <c r="B44" s="97"/>
      <c r="C44" s="97"/>
      <c r="D44" s="97"/>
      <c r="E44" s="97"/>
      <c r="F44" s="97"/>
      <c r="G44" s="119"/>
      <c r="H44" s="119"/>
      <c r="I44" s="97"/>
      <c r="J44" s="97"/>
      <c r="K44" s="119"/>
      <c r="L44" s="119"/>
      <c r="M44" s="119"/>
      <c r="N44" s="97"/>
      <c r="O44" s="119"/>
      <c r="P44" s="97"/>
      <c r="Q44" s="97"/>
      <c r="R44" s="119"/>
      <c r="S44" s="119"/>
      <c r="T44" s="119"/>
      <c r="U44" s="97"/>
      <c r="V44" s="119"/>
      <c r="W44" s="119"/>
      <c r="X44" s="83"/>
      <c r="Y44" s="157"/>
      <c r="Z44" s="157"/>
      <c r="AA44" s="157"/>
      <c r="AB44" s="157"/>
      <c r="AC44" s="157"/>
      <c r="AD44" s="157"/>
      <c r="AE44" s="157"/>
      <c r="AF44" s="157"/>
      <c r="AG44" s="157"/>
      <c r="AH44" s="157"/>
      <c r="AI44" s="83"/>
      <c r="AJ44" s="83"/>
      <c r="AK44" s="83"/>
      <c r="AL44" s="157"/>
      <c r="AM44" s="157"/>
      <c r="AN44" s="157"/>
      <c r="AO44" s="157"/>
      <c r="AP44" s="157"/>
      <c r="AQ44" s="157"/>
      <c r="AR44" s="157"/>
      <c r="AS44" s="157"/>
      <c r="AT44" s="157"/>
      <c r="AU44" s="158"/>
      <c r="AV44" s="158"/>
      <c r="AW44" s="158"/>
      <c r="AX44" s="158"/>
      <c r="AY44" s="158"/>
      <c r="AZ44" s="158"/>
      <c r="BA44" s="157"/>
      <c r="BB44" s="157"/>
      <c r="BC44" s="95"/>
      <c r="BD44" s="95"/>
      <c r="BE44" s="95"/>
      <c r="BF44" s="96"/>
      <c r="BG44" s="96"/>
      <c r="BH44" s="96"/>
      <c r="BI44" s="96"/>
      <c r="BJ44" s="96"/>
      <c r="BK44" s="96"/>
      <c r="BL44" s="96"/>
      <c r="BM44" s="96"/>
      <c r="BN44" s="96"/>
      <c r="BO44" s="96"/>
      <c r="BP44" s="96"/>
      <c r="BQ44" s="96"/>
      <c r="BR44" s="96"/>
      <c r="BS44" s="96"/>
      <c r="BT44" s="96"/>
    </row>
    <row r="45" spans="1:72" s="86" customFormat="1" ht="15.95" customHeight="1">
      <c r="A45" s="97"/>
      <c r="B45" s="97"/>
      <c r="C45" s="97"/>
      <c r="D45" s="97"/>
      <c r="E45" s="97"/>
      <c r="F45" s="97"/>
      <c r="G45" s="119"/>
      <c r="H45" s="119"/>
      <c r="I45" s="97"/>
      <c r="J45" s="97"/>
      <c r="K45" s="119"/>
      <c r="L45" s="119"/>
      <c r="M45" s="119"/>
      <c r="N45" s="97"/>
      <c r="O45" s="119"/>
      <c r="P45" s="97"/>
      <c r="Q45" s="97"/>
      <c r="R45" s="119"/>
      <c r="S45" s="119"/>
      <c r="T45" s="119"/>
      <c r="U45" s="97"/>
      <c r="V45" s="119"/>
      <c r="W45" s="119"/>
      <c r="X45" s="83"/>
      <c r="Y45" s="157"/>
      <c r="Z45" s="157"/>
      <c r="AA45" s="157"/>
      <c r="AB45" s="157"/>
      <c r="AC45" s="157"/>
      <c r="AD45" s="157"/>
      <c r="AE45" s="157"/>
      <c r="AF45" s="157"/>
      <c r="AG45" s="157"/>
      <c r="AH45" s="157"/>
      <c r="AI45" s="83"/>
      <c r="AJ45" s="83"/>
      <c r="AK45" s="83"/>
      <c r="AL45" s="157"/>
      <c r="AM45" s="157"/>
      <c r="AN45" s="157"/>
      <c r="AO45" s="157"/>
      <c r="AP45" s="157"/>
      <c r="AQ45" s="157"/>
      <c r="AR45" s="157"/>
      <c r="AS45" s="157"/>
      <c r="AT45" s="157"/>
      <c r="AU45" s="158"/>
      <c r="AV45" s="158"/>
      <c r="AW45" s="158"/>
      <c r="AX45" s="158"/>
      <c r="AY45" s="158"/>
      <c r="AZ45" s="158"/>
      <c r="BA45" s="157"/>
      <c r="BB45" s="157"/>
      <c r="BC45" s="95"/>
      <c r="BD45" s="95"/>
      <c r="BE45" s="95"/>
      <c r="BF45" s="96"/>
      <c r="BG45" s="96"/>
      <c r="BH45" s="96"/>
      <c r="BI45" s="96"/>
      <c r="BJ45" s="96"/>
      <c r="BK45" s="96"/>
      <c r="BL45" s="96"/>
      <c r="BM45" s="96"/>
      <c r="BN45" s="96"/>
      <c r="BO45" s="96"/>
      <c r="BP45" s="96"/>
      <c r="BQ45" s="96"/>
      <c r="BR45" s="96"/>
      <c r="BS45" s="96"/>
      <c r="BT45" s="96"/>
    </row>
    <row r="46" spans="1:72" s="86" customFormat="1" ht="15.95" customHeight="1">
      <c r="A46" s="97"/>
      <c r="B46" s="97"/>
      <c r="C46" s="97"/>
      <c r="D46" s="97"/>
      <c r="E46" s="97"/>
      <c r="F46" s="97"/>
      <c r="G46" s="119"/>
      <c r="H46" s="119"/>
      <c r="I46" s="97"/>
      <c r="J46" s="97"/>
      <c r="K46" s="119"/>
      <c r="L46" s="119"/>
      <c r="M46" s="119"/>
      <c r="N46" s="97"/>
      <c r="O46" s="119"/>
      <c r="P46" s="97"/>
      <c r="Q46" s="97"/>
      <c r="R46" s="119"/>
      <c r="S46" s="119"/>
      <c r="T46" s="119"/>
      <c r="U46" s="97"/>
      <c r="V46" s="119"/>
      <c r="W46" s="119"/>
      <c r="X46" s="83"/>
      <c r="Y46" s="157"/>
      <c r="Z46" s="157"/>
      <c r="AA46" s="157"/>
      <c r="AB46" s="157"/>
      <c r="AC46" s="157"/>
      <c r="AD46" s="157"/>
      <c r="AE46" s="157"/>
      <c r="AF46" s="157"/>
      <c r="AG46" s="157"/>
      <c r="AH46" s="157"/>
      <c r="AI46" s="83"/>
      <c r="AJ46" s="83"/>
      <c r="AK46" s="83"/>
      <c r="AL46" s="157"/>
      <c r="AM46" s="157"/>
      <c r="AN46" s="157"/>
      <c r="AO46" s="157"/>
      <c r="AP46" s="157"/>
      <c r="AQ46" s="157"/>
      <c r="AR46" s="157"/>
      <c r="AS46" s="157"/>
      <c r="AT46" s="157"/>
      <c r="AU46" s="158"/>
      <c r="AV46" s="158"/>
      <c r="AW46" s="158"/>
      <c r="AX46" s="158"/>
      <c r="AY46" s="158"/>
      <c r="AZ46" s="158"/>
      <c r="BA46" s="157"/>
      <c r="BB46" s="157"/>
      <c r="BC46" s="95"/>
      <c r="BD46" s="95"/>
      <c r="BE46" s="95"/>
      <c r="BF46" s="96"/>
      <c r="BG46" s="96"/>
      <c r="BH46" s="96"/>
      <c r="BI46" s="96"/>
      <c r="BJ46" s="96"/>
      <c r="BK46" s="96"/>
      <c r="BL46" s="96"/>
      <c r="BM46" s="96"/>
      <c r="BN46" s="96"/>
      <c r="BO46" s="96"/>
      <c r="BP46" s="96"/>
      <c r="BQ46" s="96"/>
      <c r="BR46" s="96"/>
      <c r="BS46" s="96"/>
      <c r="BT46" s="96"/>
    </row>
    <row r="47" spans="1:72" s="86" customFormat="1" ht="15.95" customHeight="1">
      <c r="A47" s="97"/>
      <c r="B47" s="97"/>
      <c r="C47" s="97"/>
      <c r="D47" s="97"/>
      <c r="E47" s="97"/>
      <c r="F47" s="97"/>
      <c r="G47" s="119"/>
      <c r="H47" s="119"/>
      <c r="I47" s="97"/>
      <c r="J47" s="97"/>
      <c r="K47" s="119"/>
      <c r="L47" s="119"/>
      <c r="M47" s="119"/>
      <c r="N47" s="97"/>
      <c r="O47" s="119"/>
      <c r="P47" s="97"/>
      <c r="Q47" s="97"/>
      <c r="R47" s="119"/>
      <c r="S47" s="119"/>
      <c r="T47" s="119"/>
      <c r="U47" s="97"/>
      <c r="V47" s="119"/>
      <c r="W47" s="119"/>
      <c r="X47" s="83"/>
      <c r="Y47" s="157"/>
      <c r="Z47" s="157"/>
      <c r="AA47" s="157"/>
      <c r="AB47" s="157"/>
      <c r="AC47" s="157"/>
      <c r="AD47" s="157"/>
      <c r="AE47" s="157"/>
      <c r="AF47" s="157"/>
      <c r="AG47" s="157"/>
      <c r="AH47" s="157"/>
      <c r="AI47" s="83"/>
      <c r="AJ47" s="83"/>
      <c r="AK47" s="83"/>
      <c r="AL47" s="157"/>
      <c r="AM47" s="157"/>
      <c r="AN47" s="157"/>
      <c r="AO47" s="157"/>
      <c r="AP47" s="157"/>
      <c r="AQ47" s="157"/>
      <c r="AR47" s="157"/>
      <c r="AS47" s="157"/>
      <c r="AT47" s="157"/>
      <c r="AU47" s="158"/>
      <c r="AV47" s="158"/>
      <c r="AW47" s="158"/>
      <c r="AX47" s="158"/>
      <c r="AY47" s="158"/>
      <c r="AZ47" s="158"/>
      <c r="BA47" s="157"/>
      <c r="BB47" s="157"/>
      <c r="BC47" s="95"/>
      <c r="BD47" s="95"/>
      <c r="BE47" s="95"/>
      <c r="BF47" s="96"/>
      <c r="BG47" s="96"/>
      <c r="BH47" s="96"/>
      <c r="BI47" s="96"/>
      <c r="BJ47" s="96"/>
      <c r="BK47" s="96"/>
      <c r="BL47" s="96"/>
      <c r="BM47" s="96"/>
      <c r="BN47" s="96"/>
      <c r="BO47" s="96"/>
      <c r="BP47" s="96"/>
      <c r="BQ47" s="96"/>
      <c r="BR47" s="96"/>
      <c r="BS47" s="96"/>
      <c r="BT47" s="96"/>
    </row>
    <row r="48" spans="1:72" s="86" customFormat="1" ht="15.95" customHeight="1">
      <c r="A48" s="97"/>
      <c r="B48" s="97"/>
      <c r="C48" s="97"/>
      <c r="D48" s="97"/>
      <c r="E48" s="97"/>
      <c r="F48" s="97"/>
      <c r="G48" s="119"/>
      <c r="H48" s="119"/>
      <c r="I48" s="97"/>
      <c r="J48" s="97"/>
      <c r="K48" s="119"/>
      <c r="L48" s="119"/>
      <c r="M48" s="119"/>
      <c r="N48" s="97"/>
      <c r="O48" s="119"/>
      <c r="P48" s="97"/>
      <c r="Q48" s="97"/>
      <c r="R48" s="119"/>
      <c r="S48" s="119"/>
      <c r="T48" s="119"/>
      <c r="U48" s="97"/>
      <c r="V48" s="119"/>
      <c r="W48" s="119"/>
      <c r="X48" s="83"/>
      <c r="Y48" s="157"/>
      <c r="Z48" s="157"/>
      <c r="AA48" s="157"/>
      <c r="AB48" s="157"/>
      <c r="AC48" s="157"/>
      <c r="AD48" s="157"/>
      <c r="AE48" s="157"/>
      <c r="AF48" s="157"/>
      <c r="AG48" s="157"/>
      <c r="AH48" s="157"/>
      <c r="AI48" s="83"/>
      <c r="AJ48" s="83"/>
      <c r="AK48" s="83"/>
      <c r="AL48" s="157"/>
      <c r="AM48" s="157"/>
      <c r="AN48" s="157"/>
      <c r="AO48" s="157"/>
      <c r="AP48" s="157"/>
      <c r="AQ48" s="157"/>
      <c r="AR48" s="157"/>
      <c r="AS48" s="157"/>
      <c r="AT48" s="157"/>
      <c r="AU48" s="158"/>
      <c r="AV48" s="158"/>
      <c r="AW48" s="158"/>
      <c r="AX48" s="158"/>
      <c r="AY48" s="158"/>
      <c r="AZ48" s="158"/>
      <c r="BA48" s="157"/>
      <c r="BB48" s="157"/>
      <c r="BC48" s="95"/>
      <c r="BD48" s="95"/>
      <c r="BE48" s="95"/>
      <c r="BF48" s="96"/>
      <c r="BG48" s="96"/>
      <c r="BH48" s="96"/>
      <c r="BI48" s="96"/>
      <c r="BJ48" s="96"/>
      <c r="BK48" s="96"/>
      <c r="BL48" s="96"/>
      <c r="BM48" s="96"/>
      <c r="BN48" s="96"/>
      <c r="BO48" s="96"/>
      <c r="BP48" s="96"/>
      <c r="BQ48" s="96"/>
      <c r="BR48" s="96"/>
      <c r="BS48" s="96"/>
      <c r="BT48" s="96"/>
    </row>
    <row r="49" spans="1:72" s="86" customFormat="1" ht="15.95" customHeight="1">
      <c r="A49" s="97"/>
      <c r="B49" s="97"/>
      <c r="C49" s="97"/>
      <c r="D49" s="97"/>
      <c r="E49" s="97"/>
      <c r="F49" s="97"/>
      <c r="G49" s="119"/>
      <c r="H49" s="119"/>
      <c r="I49" s="97"/>
      <c r="J49" s="97"/>
      <c r="K49" s="119"/>
      <c r="L49" s="119"/>
      <c r="M49" s="119"/>
      <c r="N49" s="97"/>
      <c r="O49" s="119"/>
      <c r="P49" s="97"/>
      <c r="Q49" s="97"/>
      <c r="R49" s="119"/>
      <c r="S49" s="119"/>
      <c r="T49" s="119"/>
      <c r="U49" s="97"/>
      <c r="V49" s="119"/>
      <c r="W49" s="119"/>
      <c r="X49" s="83"/>
      <c r="Y49" s="157"/>
      <c r="Z49" s="157"/>
      <c r="AA49" s="157"/>
      <c r="AB49" s="157"/>
      <c r="AC49" s="157"/>
      <c r="AD49" s="157"/>
      <c r="AE49" s="157"/>
      <c r="AF49" s="157"/>
      <c r="AG49" s="157"/>
      <c r="AH49" s="157"/>
      <c r="AI49" s="83"/>
      <c r="AJ49" s="83"/>
      <c r="AK49" s="83"/>
      <c r="AL49" s="157"/>
      <c r="AM49" s="157"/>
      <c r="AN49" s="157"/>
      <c r="AO49" s="157"/>
      <c r="AP49" s="157"/>
      <c r="AQ49" s="157"/>
      <c r="AR49" s="157"/>
      <c r="AS49" s="157"/>
      <c r="AT49" s="157"/>
      <c r="AU49" s="158"/>
      <c r="AV49" s="158"/>
      <c r="AW49" s="158"/>
      <c r="AX49" s="158"/>
      <c r="AY49" s="158"/>
      <c r="AZ49" s="158"/>
      <c r="BA49" s="157"/>
      <c r="BB49" s="157"/>
      <c r="BC49" s="95"/>
      <c r="BD49" s="95"/>
      <c r="BE49" s="95"/>
      <c r="BF49" s="96"/>
      <c r="BG49" s="96"/>
      <c r="BH49" s="96"/>
      <c r="BI49" s="96"/>
      <c r="BJ49" s="96"/>
      <c r="BK49" s="96"/>
      <c r="BL49" s="96"/>
      <c r="BM49" s="96"/>
      <c r="BN49" s="96"/>
      <c r="BO49" s="96"/>
      <c r="BP49" s="96"/>
      <c r="BQ49" s="96"/>
      <c r="BR49" s="96"/>
      <c r="BS49" s="96"/>
      <c r="BT49" s="96"/>
    </row>
    <row r="50" spans="1:72" s="86" customFormat="1" ht="15.95" customHeight="1">
      <c r="A50" s="97"/>
      <c r="B50" s="97"/>
      <c r="C50" s="97"/>
      <c r="D50" s="97"/>
      <c r="E50" s="97"/>
      <c r="F50" s="97"/>
      <c r="G50" s="119"/>
      <c r="H50" s="119"/>
      <c r="I50" s="97"/>
      <c r="J50" s="97"/>
      <c r="K50" s="119"/>
      <c r="L50" s="119"/>
      <c r="M50" s="119"/>
      <c r="N50" s="97"/>
      <c r="O50" s="119"/>
      <c r="P50" s="97"/>
      <c r="Q50" s="97"/>
      <c r="R50" s="119"/>
      <c r="S50" s="119"/>
      <c r="T50" s="119"/>
      <c r="U50" s="97"/>
      <c r="V50" s="119"/>
      <c r="W50" s="119"/>
      <c r="X50" s="83"/>
      <c r="Y50" s="157"/>
      <c r="Z50" s="157"/>
      <c r="AA50" s="157"/>
      <c r="AB50" s="157"/>
      <c r="AC50" s="157"/>
      <c r="AD50" s="157"/>
      <c r="AE50" s="157"/>
      <c r="AF50" s="157"/>
      <c r="AG50" s="157"/>
      <c r="AH50" s="157"/>
      <c r="AI50" s="83"/>
      <c r="AJ50" s="83"/>
      <c r="AK50" s="83"/>
      <c r="AL50" s="157"/>
      <c r="AM50" s="157"/>
      <c r="AN50" s="157"/>
      <c r="AO50" s="157"/>
      <c r="AP50" s="157"/>
      <c r="AQ50" s="157"/>
      <c r="AR50" s="157"/>
      <c r="AS50" s="157"/>
      <c r="AT50" s="157"/>
      <c r="AU50" s="83"/>
      <c r="AV50" s="83"/>
      <c r="AW50" s="83"/>
      <c r="AX50" s="83"/>
      <c r="AY50" s="83"/>
      <c r="AZ50" s="83"/>
      <c r="BA50" s="83"/>
      <c r="BB50" s="83"/>
      <c r="BC50" s="83"/>
      <c r="BD50" s="83"/>
      <c r="BE50" s="83"/>
      <c r="BF50" s="82"/>
      <c r="BG50" s="82"/>
      <c r="BH50" s="82"/>
      <c r="BI50" s="82"/>
      <c r="BJ50" s="82"/>
      <c r="BK50" s="82"/>
      <c r="BL50" s="82"/>
      <c r="BM50" s="82"/>
      <c r="BN50" s="82"/>
      <c r="BO50" s="82"/>
      <c r="BP50" s="82"/>
      <c r="BQ50" s="82"/>
      <c r="BR50" s="82"/>
      <c r="BS50" s="82"/>
      <c r="BT50" s="82"/>
    </row>
    <row r="51" spans="1:72" s="86" customFormat="1" ht="15.95" customHeight="1">
      <c r="A51" s="97"/>
      <c r="B51" s="97"/>
      <c r="C51" s="97"/>
      <c r="D51" s="97"/>
      <c r="E51" s="97"/>
      <c r="F51" s="97"/>
      <c r="G51" s="119"/>
      <c r="H51" s="119"/>
      <c r="I51" s="97"/>
      <c r="J51" s="97"/>
      <c r="K51" s="119"/>
      <c r="L51" s="119"/>
      <c r="M51" s="119"/>
      <c r="N51" s="97"/>
      <c r="O51" s="119"/>
      <c r="P51" s="97"/>
      <c r="Q51" s="97"/>
      <c r="R51" s="119"/>
      <c r="S51" s="119"/>
      <c r="T51" s="119"/>
      <c r="U51" s="97"/>
      <c r="V51" s="119"/>
      <c r="W51" s="119"/>
      <c r="X51" s="83"/>
      <c r="Y51" s="157"/>
      <c r="Z51" s="157"/>
      <c r="AA51" s="157"/>
      <c r="AB51" s="157"/>
      <c r="AC51" s="157"/>
      <c r="AD51" s="157"/>
      <c r="AE51" s="157"/>
      <c r="AF51" s="157"/>
      <c r="AG51" s="157"/>
      <c r="AH51" s="157"/>
      <c r="AI51" s="83"/>
      <c r="AJ51" s="83"/>
      <c r="AK51" s="83"/>
      <c r="AL51" s="157"/>
      <c r="AM51" s="157"/>
      <c r="AN51" s="157"/>
      <c r="AO51" s="157"/>
      <c r="AP51" s="157"/>
      <c r="AQ51" s="157"/>
      <c r="AR51" s="157"/>
      <c r="AS51" s="157"/>
      <c r="AT51" s="157"/>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row>
    <row r="52" spans="1:72" s="86" customFormat="1" ht="15.95" customHeight="1">
      <c r="A52" s="107"/>
      <c r="B52" s="107"/>
      <c r="C52" s="107"/>
      <c r="D52" s="107"/>
      <c r="E52" s="107"/>
      <c r="F52" s="107"/>
      <c r="G52" s="111"/>
      <c r="H52" s="111"/>
      <c r="I52" s="107"/>
      <c r="J52" s="107"/>
      <c r="K52" s="111"/>
      <c r="L52" s="111"/>
      <c r="M52" s="111"/>
      <c r="N52" s="107"/>
      <c r="O52" s="111"/>
      <c r="P52" s="107"/>
      <c r="Q52" s="107"/>
      <c r="R52" s="111"/>
      <c r="S52" s="111"/>
      <c r="T52" s="111"/>
      <c r="U52" s="107"/>
      <c r="V52" s="111"/>
      <c r="W52" s="111"/>
      <c r="X52" s="83"/>
      <c r="Y52" s="157"/>
      <c r="Z52" s="157"/>
      <c r="AA52" s="157"/>
      <c r="AB52" s="157"/>
      <c r="AC52" s="157"/>
      <c r="AD52" s="157"/>
      <c r="AE52" s="157"/>
      <c r="AF52" s="157"/>
      <c r="AG52" s="157"/>
      <c r="AH52" s="157"/>
      <c r="AI52" s="83"/>
      <c r="AJ52" s="83"/>
      <c r="AK52" s="83"/>
      <c r="AL52" s="157"/>
      <c r="AM52" s="157"/>
      <c r="AN52" s="157"/>
      <c r="AO52" s="157"/>
      <c r="AP52" s="157"/>
      <c r="AQ52" s="157"/>
      <c r="AR52" s="157"/>
      <c r="AS52" s="157"/>
      <c r="AT52" s="157"/>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row>
    <row r="53" spans="1:72" s="86" customFormat="1" ht="15.95" customHeight="1">
      <c r="A53" s="107"/>
      <c r="B53" s="107"/>
      <c r="C53" s="107"/>
      <c r="D53" s="107"/>
      <c r="E53" s="107"/>
      <c r="F53" s="107"/>
      <c r="G53" s="111"/>
      <c r="H53" s="111"/>
      <c r="I53" s="107"/>
      <c r="J53" s="107"/>
      <c r="K53" s="111"/>
      <c r="L53" s="111"/>
      <c r="M53" s="111"/>
      <c r="N53" s="107"/>
      <c r="O53" s="111"/>
      <c r="P53" s="107"/>
      <c r="Q53" s="107"/>
      <c r="R53" s="111"/>
      <c r="S53" s="111"/>
      <c r="T53" s="111"/>
      <c r="U53" s="107"/>
      <c r="V53" s="111"/>
      <c r="W53" s="111"/>
      <c r="X53" s="83"/>
      <c r="Y53" s="157"/>
      <c r="Z53" s="157"/>
      <c r="AA53" s="157"/>
      <c r="AB53" s="157"/>
      <c r="AC53" s="157"/>
      <c r="AD53" s="157"/>
      <c r="AE53" s="157"/>
      <c r="AF53" s="157"/>
      <c r="AG53" s="157"/>
      <c r="AH53" s="157"/>
      <c r="AI53" s="83"/>
      <c r="AJ53" s="83"/>
      <c r="AK53" s="83"/>
      <c r="AL53" s="157"/>
      <c r="AM53" s="157"/>
      <c r="AN53" s="157"/>
      <c r="AO53" s="157"/>
      <c r="AP53" s="157"/>
      <c r="AQ53" s="157"/>
      <c r="AR53" s="157"/>
      <c r="AS53" s="157"/>
      <c r="AT53" s="157"/>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row>
    <row r="54" spans="1:72" s="86" customFormat="1" ht="15.95" customHeight="1">
      <c r="A54" s="107"/>
      <c r="B54" s="107"/>
      <c r="C54" s="107"/>
      <c r="D54" s="107"/>
      <c r="E54" s="107"/>
      <c r="F54" s="107"/>
      <c r="G54" s="111"/>
      <c r="H54" s="111"/>
      <c r="I54" s="107"/>
      <c r="J54" s="107"/>
      <c r="K54" s="111"/>
      <c r="L54" s="111"/>
      <c r="M54" s="111"/>
      <c r="N54" s="107"/>
      <c r="O54" s="111"/>
      <c r="P54" s="107"/>
      <c r="Q54" s="107"/>
      <c r="R54" s="111"/>
      <c r="S54" s="111"/>
      <c r="T54" s="111"/>
      <c r="U54" s="107"/>
      <c r="V54" s="111"/>
      <c r="W54" s="111"/>
      <c r="X54" s="83"/>
      <c r="Y54" s="157"/>
      <c r="Z54" s="157"/>
      <c r="AA54" s="157"/>
      <c r="AB54" s="157"/>
      <c r="AC54" s="157"/>
      <c r="AD54" s="157"/>
      <c r="AE54" s="157"/>
      <c r="AF54" s="157"/>
      <c r="AG54" s="157"/>
      <c r="AH54" s="157"/>
      <c r="AI54" s="83"/>
      <c r="AJ54" s="83"/>
      <c r="AK54" s="83"/>
      <c r="AL54" s="157"/>
      <c r="AM54" s="157"/>
      <c r="AN54" s="157"/>
      <c r="AO54" s="157"/>
      <c r="AP54" s="157"/>
      <c r="AQ54" s="157"/>
      <c r="AR54" s="157"/>
      <c r="AS54" s="157"/>
      <c r="AT54" s="157"/>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row>
    <row r="55" spans="1:72" s="86" customFormat="1" ht="15.95" customHeight="1">
      <c r="A55" s="107"/>
      <c r="B55" s="107"/>
      <c r="C55" s="107"/>
      <c r="D55" s="107"/>
      <c r="E55" s="107"/>
      <c r="F55" s="107"/>
      <c r="G55" s="111"/>
      <c r="H55" s="111"/>
      <c r="I55" s="107"/>
      <c r="J55" s="107"/>
      <c r="K55" s="111"/>
      <c r="L55" s="111"/>
      <c r="M55" s="111"/>
      <c r="N55" s="107"/>
      <c r="O55" s="111"/>
      <c r="P55" s="107"/>
      <c r="Q55" s="107"/>
      <c r="R55" s="111"/>
      <c r="S55" s="111"/>
      <c r="T55" s="111"/>
      <c r="U55" s="107"/>
      <c r="V55" s="111"/>
      <c r="W55" s="111"/>
      <c r="X55" s="83"/>
      <c r="Y55" s="157"/>
      <c r="Z55" s="157"/>
      <c r="AA55" s="157"/>
      <c r="AB55" s="157"/>
      <c r="AC55" s="157"/>
      <c r="AD55" s="157"/>
      <c r="AE55" s="157"/>
      <c r="AF55" s="157"/>
      <c r="AG55" s="157"/>
      <c r="AH55" s="157"/>
      <c r="AI55" s="83"/>
      <c r="AJ55" s="83"/>
      <c r="AK55" s="83"/>
      <c r="AL55" s="157"/>
      <c r="AM55" s="157"/>
      <c r="AN55" s="157"/>
      <c r="AO55" s="157"/>
      <c r="AP55" s="157"/>
      <c r="AQ55" s="157"/>
      <c r="AR55" s="157"/>
      <c r="AS55" s="157"/>
      <c r="AT55" s="157"/>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row>
    <row r="56" spans="1:72" s="86" customFormat="1" ht="15.95" customHeight="1">
      <c r="A56" s="97"/>
      <c r="B56" s="97"/>
      <c r="C56" s="97"/>
      <c r="D56" s="97"/>
      <c r="E56" s="97"/>
      <c r="F56" s="97"/>
      <c r="G56" s="119"/>
      <c r="H56" s="119"/>
      <c r="I56" s="97"/>
      <c r="J56" s="97"/>
      <c r="K56" s="119"/>
      <c r="L56" s="119"/>
      <c r="M56" s="119"/>
      <c r="N56" s="97"/>
      <c r="O56" s="119"/>
      <c r="P56" s="97"/>
      <c r="Q56" s="97"/>
      <c r="R56" s="119"/>
      <c r="S56" s="119"/>
      <c r="T56" s="119"/>
      <c r="U56" s="97"/>
      <c r="V56" s="119"/>
      <c r="W56" s="119"/>
      <c r="X56" s="83"/>
      <c r="Y56" s="157"/>
      <c r="Z56" s="157"/>
      <c r="AA56" s="157"/>
      <c r="AB56" s="157"/>
      <c r="AC56" s="157"/>
      <c r="AD56" s="157"/>
      <c r="AE56" s="157"/>
      <c r="AF56" s="157"/>
      <c r="AG56" s="157"/>
      <c r="AH56" s="157"/>
      <c r="AI56" s="83"/>
      <c r="AJ56" s="83"/>
      <c r="AK56" s="83"/>
      <c r="AL56" s="157"/>
      <c r="AM56" s="157"/>
      <c r="AN56" s="157"/>
      <c r="AO56" s="157"/>
      <c r="AP56" s="157"/>
      <c r="AQ56" s="157"/>
      <c r="AR56" s="157"/>
      <c r="AS56" s="157"/>
      <c r="AT56" s="157"/>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row>
    <row r="57" spans="1:72" s="86" customFormat="1">
      <c r="A57" s="83"/>
      <c r="B57" s="83"/>
      <c r="C57" s="83"/>
      <c r="D57" s="83"/>
      <c r="E57" s="83"/>
      <c r="F57" s="83"/>
      <c r="G57" s="83"/>
      <c r="H57" s="83"/>
      <c r="I57" s="83"/>
      <c r="J57" s="83"/>
      <c r="K57" s="83"/>
      <c r="L57" s="83"/>
      <c r="M57" s="83"/>
      <c r="N57" s="83"/>
      <c r="O57" s="83"/>
      <c r="P57" s="83"/>
      <c r="Q57" s="83"/>
      <c r="R57" s="83"/>
      <c r="S57" s="83"/>
      <c r="T57" s="83"/>
      <c r="U57" s="83"/>
      <c r="V57" s="83"/>
      <c r="W57" s="83"/>
      <c r="X57" s="83"/>
      <c r="Y57" s="157"/>
      <c r="Z57" s="157"/>
      <c r="AA57" s="157"/>
      <c r="AB57" s="157"/>
      <c r="AC57" s="157"/>
      <c r="AD57" s="157"/>
      <c r="AE57" s="157"/>
      <c r="AF57" s="157"/>
      <c r="AG57" s="157"/>
      <c r="AH57" s="157"/>
      <c r="AI57" s="83"/>
      <c r="AJ57" s="83"/>
      <c r="AK57" s="83"/>
      <c r="AL57" s="157"/>
      <c r="AM57" s="157"/>
      <c r="AN57" s="157"/>
      <c r="AO57" s="157"/>
      <c r="AP57" s="157"/>
      <c r="AQ57" s="157"/>
      <c r="AR57" s="157"/>
      <c r="AS57" s="157"/>
      <c r="AT57" s="157"/>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row>
    <row r="58" spans="1:72" s="86" customFormat="1">
      <c r="A58" s="83"/>
      <c r="B58" s="83"/>
      <c r="C58" s="83"/>
      <c r="D58" s="115"/>
      <c r="E58" s="115"/>
      <c r="F58" s="115"/>
      <c r="G58" s="115"/>
      <c r="H58" s="106"/>
      <c r="I58" s="90"/>
      <c r="J58" s="90"/>
      <c r="K58" s="90"/>
      <c r="L58" s="90"/>
      <c r="M58" s="90"/>
      <c r="N58" s="90"/>
      <c r="O58" s="83"/>
      <c r="P58" s="83"/>
      <c r="Q58" s="83"/>
      <c r="R58" s="114"/>
      <c r="S58" s="114"/>
      <c r="T58" s="106"/>
      <c r="U58" s="83"/>
      <c r="V58" s="106"/>
      <c r="W58" s="83"/>
      <c r="X58" s="83"/>
      <c r="Y58" s="157"/>
      <c r="Z58" s="157"/>
      <c r="AA58" s="157"/>
      <c r="AB58" s="157"/>
      <c r="AC58" s="157"/>
      <c r="AD58" s="157"/>
      <c r="AE58" s="157"/>
      <c r="AF58" s="157"/>
      <c r="AG58" s="157"/>
      <c r="AH58" s="157"/>
      <c r="AI58" s="83"/>
      <c r="AJ58" s="83"/>
      <c r="AK58" s="83"/>
      <c r="AL58" s="157"/>
      <c r="AM58" s="157"/>
      <c r="AN58" s="157"/>
      <c r="AO58" s="157"/>
      <c r="AP58" s="157"/>
      <c r="AQ58" s="157"/>
      <c r="AR58" s="157"/>
      <c r="AS58" s="157"/>
      <c r="AT58" s="157"/>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row>
    <row r="59" spans="1:72" s="86" customFormat="1" ht="17.100000000000001" customHeight="1">
      <c r="A59" s="83"/>
      <c r="B59" s="83"/>
      <c r="C59" s="83"/>
      <c r="D59" s="115"/>
      <c r="E59" s="83"/>
      <c r="F59" s="83"/>
      <c r="G59" s="117"/>
      <c r="H59" s="117"/>
      <c r="I59" s="90"/>
      <c r="J59" s="90"/>
      <c r="K59" s="83"/>
      <c r="L59" s="83"/>
      <c r="M59" s="83"/>
      <c r="N59" s="83"/>
      <c r="O59" s="115"/>
      <c r="P59" s="115"/>
      <c r="Q59" s="90"/>
      <c r="R59" s="116"/>
      <c r="S59" s="116"/>
      <c r="T59" s="83"/>
      <c r="U59" s="83"/>
      <c r="V59" s="83"/>
      <c r="W59" s="83"/>
      <c r="X59" s="83"/>
      <c r="Y59" s="157"/>
      <c r="Z59" s="157"/>
      <c r="AA59" s="157"/>
      <c r="AB59" s="157"/>
      <c r="AC59" s="157"/>
      <c r="AD59" s="157"/>
      <c r="AE59" s="157"/>
      <c r="AF59" s="157"/>
      <c r="AG59" s="157"/>
      <c r="AH59" s="157"/>
      <c r="AI59" s="83"/>
      <c r="AJ59" s="83"/>
      <c r="AK59" s="83"/>
      <c r="AL59" s="157"/>
      <c r="AM59" s="157"/>
      <c r="AN59" s="157"/>
      <c r="AO59" s="157"/>
      <c r="AP59" s="157"/>
      <c r="AQ59" s="157"/>
      <c r="AR59" s="157"/>
      <c r="AS59" s="157"/>
      <c r="AT59" s="157"/>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row>
    <row r="60" spans="1:72" s="86" customFormat="1" ht="15.75">
      <c r="A60" s="83"/>
      <c r="B60" s="83"/>
      <c r="C60" s="83"/>
      <c r="D60" s="117"/>
      <c r="E60" s="83"/>
      <c r="F60" s="83"/>
      <c r="G60" s="83"/>
      <c r="H60" s="83"/>
      <c r="I60" s="90"/>
      <c r="J60" s="90"/>
      <c r="K60" s="90"/>
      <c r="L60" s="115"/>
      <c r="M60" s="115"/>
      <c r="N60" s="90"/>
      <c r="O60" s="90"/>
      <c r="P60" s="90"/>
      <c r="Q60" s="90"/>
      <c r="R60" s="90"/>
      <c r="S60" s="90"/>
      <c r="T60" s="83"/>
      <c r="U60" s="83"/>
      <c r="V60" s="83"/>
      <c r="W60" s="83"/>
      <c r="X60" s="83"/>
      <c r="Y60" s="157"/>
      <c r="Z60" s="157"/>
      <c r="AA60" s="157"/>
      <c r="AB60" s="157"/>
      <c r="AC60" s="157"/>
      <c r="AD60" s="157"/>
      <c r="AE60" s="157"/>
      <c r="AF60" s="157"/>
      <c r="AG60" s="157"/>
      <c r="AH60" s="157"/>
      <c r="AI60" s="83"/>
      <c r="AJ60" s="83"/>
      <c r="AK60" s="83"/>
      <c r="AL60" s="157"/>
      <c r="AM60" s="157"/>
      <c r="AN60" s="157"/>
      <c r="AO60" s="157"/>
      <c r="AP60" s="157"/>
      <c r="AQ60" s="157"/>
      <c r="AR60" s="157"/>
      <c r="AS60" s="157"/>
      <c r="AT60" s="157"/>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row>
    <row r="61" spans="1:72" s="86" customFormat="1" ht="18.95" customHeight="1">
      <c r="A61" s="83"/>
      <c r="B61" s="83"/>
      <c r="C61" s="83"/>
      <c r="D61" s="118"/>
      <c r="E61" s="83"/>
      <c r="F61" s="83"/>
      <c r="G61" s="106"/>
      <c r="H61" s="110"/>
      <c r="I61" s="83"/>
      <c r="J61" s="83"/>
      <c r="K61" s="83"/>
      <c r="L61" s="83"/>
      <c r="M61" s="83"/>
      <c r="N61" s="83"/>
      <c r="O61" s="83"/>
      <c r="P61" s="83"/>
      <c r="Q61" s="83"/>
      <c r="R61" s="83"/>
      <c r="S61" s="83"/>
      <c r="T61" s="83"/>
      <c r="U61" s="83"/>
      <c r="V61" s="83"/>
      <c r="W61" s="83"/>
      <c r="X61" s="83"/>
      <c r="Y61" s="157"/>
      <c r="Z61" s="157"/>
      <c r="AA61" s="157"/>
      <c r="AB61" s="157"/>
      <c r="AC61" s="157"/>
      <c r="AD61" s="157"/>
      <c r="AE61" s="157"/>
      <c r="AF61" s="157"/>
      <c r="AG61" s="157"/>
      <c r="AH61" s="157"/>
      <c r="AI61" s="83"/>
      <c r="AJ61" s="83"/>
      <c r="AK61" s="83"/>
      <c r="AL61" s="157"/>
      <c r="AM61" s="157"/>
      <c r="AN61" s="157"/>
      <c r="AO61" s="157"/>
      <c r="AP61" s="157"/>
      <c r="AQ61" s="157"/>
      <c r="AR61" s="157"/>
      <c r="AS61" s="157"/>
      <c r="AT61" s="157"/>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row>
    <row r="64" spans="1:72">
      <c r="R64" s="73" t="s">
        <v>25</v>
      </c>
    </row>
  </sheetData>
  <mergeCells count="64">
    <mergeCell ref="AU5:AY5"/>
    <mergeCell ref="AL5:AN5"/>
    <mergeCell ref="AO5:AQ5"/>
    <mergeCell ref="AT5:AT6"/>
    <mergeCell ref="E27:T27"/>
    <mergeCell ref="R19:U19"/>
    <mergeCell ref="R18:U18"/>
    <mergeCell ref="A5:W5"/>
    <mergeCell ref="A13:D13"/>
    <mergeCell ref="E13:Q13"/>
    <mergeCell ref="R13:U13"/>
    <mergeCell ref="A14:D14"/>
    <mergeCell ref="E14:Q14"/>
    <mergeCell ref="R14:U14"/>
    <mergeCell ref="A15:D15"/>
    <mergeCell ref="E15:Q15"/>
    <mergeCell ref="E28:T28"/>
    <mergeCell ref="E29:T29"/>
    <mergeCell ref="E30:T30"/>
    <mergeCell ref="E31:T31"/>
    <mergeCell ref="A23:D23"/>
    <mergeCell ref="E23:Q23"/>
    <mergeCell ref="R23:U23"/>
    <mergeCell ref="A24:D24"/>
    <mergeCell ref="E24:Q24"/>
    <mergeCell ref="R24:U24"/>
    <mergeCell ref="A7:D7"/>
    <mergeCell ref="E7:Q7"/>
    <mergeCell ref="R7:U7"/>
    <mergeCell ref="A8:D8"/>
    <mergeCell ref="E8:Q8"/>
    <mergeCell ref="R8:U8"/>
    <mergeCell ref="A9:D9"/>
    <mergeCell ref="E9:Q9"/>
    <mergeCell ref="R9:U9"/>
    <mergeCell ref="A10:D10"/>
    <mergeCell ref="E10:Q10"/>
    <mergeCell ref="R10:U10"/>
    <mergeCell ref="A18:D18"/>
    <mergeCell ref="E18:Q18"/>
    <mergeCell ref="A11:D11"/>
    <mergeCell ref="E11:Q11"/>
    <mergeCell ref="R11:U11"/>
    <mergeCell ref="A12:D12"/>
    <mergeCell ref="E12:Q12"/>
    <mergeCell ref="R12:U12"/>
    <mergeCell ref="R15:U15"/>
    <mergeCell ref="A16:D16"/>
    <mergeCell ref="E16:Q16"/>
    <mergeCell ref="R16:U16"/>
    <mergeCell ref="A17:D17"/>
    <mergeCell ref="E17:Q17"/>
    <mergeCell ref="R17:U17"/>
    <mergeCell ref="A22:D22"/>
    <mergeCell ref="E22:Q22"/>
    <mergeCell ref="R22:U22"/>
    <mergeCell ref="A19:D19"/>
    <mergeCell ref="E19:Q19"/>
    <mergeCell ref="A20:D20"/>
    <mergeCell ref="E20:Q20"/>
    <mergeCell ref="R20:U20"/>
    <mergeCell ref="A21:D21"/>
    <mergeCell ref="E21:Q21"/>
    <mergeCell ref="R21:U21"/>
  </mergeCells>
  <phoneticPr fontId="96" type="noConversion"/>
  <printOptions horizontalCentered="1" verticalCentered="1"/>
  <pageMargins left="0.19685039370078741" right="0.19685039370078741" top="0.39370078740157483" bottom="0.39370078740157483" header="0.31496062992125984" footer="0.31496062992125984"/>
  <pageSetup paperSize="9" scale="74"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1EEE44-756E-484F-A489-2704844B7B9C}">
  <sheetPr codeName="工作表6"/>
  <dimension ref="A1:L125"/>
  <sheetViews>
    <sheetView zoomScale="85" zoomScaleNormal="85" workbookViewId="0">
      <selection activeCell="E9" sqref="E9"/>
    </sheetView>
  </sheetViews>
  <sheetFormatPr defaultColWidth="8.75" defaultRowHeight="15"/>
  <cols>
    <col min="1" max="1" width="13.125" style="132" customWidth="1"/>
    <col min="2" max="2" width="31.5" style="132" customWidth="1"/>
    <col min="3" max="3" width="4.75" style="132" bestFit="1" customWidth="1"/>
    <col min="4" max="4" width="6.375" style="132" customWidth="1"/>
    <col min="5" max="5" width="15.875" style="132" customWidth="1"/>
    <col min="6" max="6" width="54.875" style="132" customWidth="1"/>
    <col min="7" max="7" width="65.5" style="81" customWidth="1"/>
    <col min="8" max="8" width="8.25" style="132" customWidth="1"/>
    <col min="9" max="9" width="25.75" style="132" customWidth="1"/>
    <col min="10" max="10" width="6.875" style="132" customWidth="1"/>
    <col min="11" max="11" width="8.75" style="81"/>
    <col min="12" max="16384" width="8.75" style="132"/>
  </cols>
  <sheetData>
    <row r="1" spans="1:11" ht="15.75">
      <c r="B1" s="131" t="s">
        <v>161</v>
      </c>
      <c r="C1" s="131"/>
      <c r="D1" s="131"/>
      <c r="E1" s="131"/>
      <c r="F1" s="131" t="s">
        <v>162</v>
      </c>
      <c r="G1" s="204" t="s">
        <v>163</v>
      </c>
      <c r="H1" s="131"/>
      <c r="I1" s="131" t="s">
        <v>164</v>
      </c>
      <c r="J1" s="131"/>
      <c r="K1" s="204" t="s">
        <v>165</v>
      </c>
    </row>
    <row r="2" spans="1:11">
      <c r="A2" s="132" t="s">
        <v>582</v>
      </c>
      <c r="B2" s="132" t="s">
        <v>581</v>
      </c>
      <c r="C2" s="132" t="s">
        <v>582</v>
      </c>
      <c r="D2" s="132" t="s">
        <v>178</v>
      </c>
      <c r="E2" s="132" t="str">
        <f t="shared" ref="E2:E33" si="0">LEFT(F2, FIND(" ", F2 &amp; " ") - 1)</f>
        <v>Acciai</v>
      </c>
      <c r="F2" s="81" t="s">
        <v>110</v>
      </c>
      <c r="G2" s="81" t="s">
        <v>143</v>
      </c>
      <c r="I2" s="81" t="s">
        <v>111</v>
      </c>
      <c r="K2" s="81" t="s">
        <v>112</v>
      </c>
    </row>
    <row r="3" spans="1:11">
      <c r="C3" s="132" t="s">
        <v>582</v>
      </c>
      <c r="D3" s="132" t="s">
        <v>178</v>
      </c>
      <c r="E3" s="132" t="str">
        <f t="shared" si="0"/>
        <v>Acciai</v>
      </c>
      <c r="F3" s="81" t="s">
        <v>110</v>
      </c>
      <c r="G3" s="81" t="s">
        <v>493</v>
      </c>
      <c r="I3" s="81" t="s">
        <v>111</v>
      </c>
      <c r="K3" s="81" t="s">
        <v>494</v>
      </c>
    </row>
    <row r="4" spans="1:11">
      <c r="C4" s="132" t="s">
        <v>582</v>
      </c>
      <c r="D4" s="132" t="s">
        <v>178</v>
      </c>
      <c r="E4" s="132" t="str">
        <f t="shared" si="0"/>
        <v>C.P.C.</v>
      </c>
      <c r="F4" s="81" t="s">
        <v>559</v>
      </c>
      <c r="G4" s="81" t="s">
        <v>561</v>
      </c>
      <c r="I4" s="81" t="s">
        <v>560</v>
      </c>
      <c r="K4" s="81" t="s">
        <v>562</v>
      </c>
    </row>
    <row r="5" spans="1:11">
      <c r="B5" s="81"/>
      <c r="C5" s="132" t="s">
        <v>582</v>
      </c>
      <c r="D5" s="132" t="s">
        <v>178</v>
      </c>
      <c r="E5" s="132" t="str">
        <f t="shared" si="0"/>
        <v>China</v>
      </c>
      <c r="F5" s="81" t="s">
        <v>566</v>
      </c>
      <c r="G5" s="81" t="s">
        <v>503</v>
      </c>
      <c r="I5" s="81" t="s">
        <v>567</v>
      </c>
      <c r="K5" s="81" t="s">
        <v>568</v>
      </c>
    </row>
    <row r="6" spans="1:11">
      <c r="C6" s="132" t="s">
        <v>582</v>
      </c>
      <c r="D6" s="132" t="s">
        <v>178</v>
      </c>
      <c r="E6" s="132" t="str">
        <f t="shared" si="0"/>
        <v>DK</v>
      </c>
      <c r="F6" s="81" t="s">
        <v>498</v>
      </c>
      <c r="G6" s="81" t="s">
        <v>513</v>
      </c>
      <c r="I6" s="81" t="s">
        <v>499</v>
      </c>
      <c r="K6" s="81" t="s">
        <v>500</v>
      </c>
    </row>
    <row r="7" spans="1:11">
      <c r="C7" s="132" t="s">
        <v>582</v>
      </c>
      <c r="D7" s="132" t="s">
        <v>178</v>
      </c>
      <c r="E7" s="132" t="str">
        <f t="shared" si="0"/>
        <v>D</v>
      </c>
      <c r="F7" s="81" t="s">
        <v>486</v>
      </c>
      <c r="G7" s="81" t="s">
        <v>487</v>
      </c>
      <c r="I7" s="81" t="s">
        <v>489</v>
      </c>
      <c r="K7" s="81" t="s">
        <v>488</v>
      </c>
    </row>
    <row r="8" spans="1:11">
      <c r="C8" s="132" t="s">
        <v>582</v>
      </c>
      <c r="D8" s="132" t="s">
        <v>178</v>
      </c>
      <c r="E8" s="132" t="str">
        <f t="shared" si="0"/>
        <v>D</v>
      </c>
      <c r="F8" s="81" t="s">
        <v>486</v>
      </c>
      <c r="G8" s="81" t="s">
        <v>532</v>
      </c>
      <c r="I8" s="81" t="s">
        <v>533</v>
      </c>
      <c r="K8" s="81" t="s">
        <v>534</v>
      </c>
    </row>
    <row r="9" spans="1:11">
      <c r="C9" s="132" t="s">
        <v>582</v>
      </c>
      <c r="D9" s="132" t="s">
        <v>178</v>
      </c>
      <c r="E9" s="132" t="str">
        <f t="shared" si="0"/>
        <v>DUFERCO</v>
      </c>
      <c r="F9" s="81" t="s">
        <v>470</v>
      </c>
      <c r="G9" s="81" t="s">
        <v>472</v>
      </c>
      <c r="I9" s="81" t="s">
        <v>473</v>
      </c>
      <c r="K9" s="81" t="s">
        <v>471</v>
      </c>
    </row>
    <row r="10" spans="1:11">
      <c r="C10" s="132" t="s">
        <v>582</v>
      </c>
      <c r="D10" s="132" t="s">
        <v>178</v>
      </c>
      <c r="E10" s="132" t="str">
        <f t="shared" si="0"/>
        <v>DUFERCO</v>
      </c>
      <c r="F10" s="81" t="s">
        <v>470</v>
      </c>
      <c r="G10" s="81" t="s">
        <v>520</v>
      </c>
      <c r="I10" s="81" t="s">
        <v>496</v>
      </c>
      <c r="K10" s="81" t="s">
        <v>521</v>
      </c>
    </row>
    <row r="11" spans="1:11">
      <c r="C11" s="132" t="s">
        <v>582</v>
      </c>
      <c r="D11" s="132" t="s">
        <v>178</v>
      </c>
      <c r="E11" s="132" t="str">
        <f t="shared" si="0"/>
        <v>Esang</v>
      </c>
      <c r="F11" s="81" t="s">
        <v>483</v>
      </c>
      <c r="G11" s="81" t="s">
        <v>479</v>
      </c>
      <c r="I11" s="81" t="s">
        <v>484</v>
      </c>
      <c r="K11" s="81" t="s">
        <v>485</v>
      </c>
    </row>
    <row r="12" spans="1:11">
      <c r="C12" s="132" t="s">
        <v>582</v>
      </c>
      <c r="D12" s="132" t="s">
        <v>178</v>
      </c>
      <c r="E12" s="132" t="str">
        <f t="shared" si="0"/>
        <v>Friulana</v>
      </c>
      <c r="F12" s="81" t="s">
        <v>116</v>
      </c>
      <c r="G12" s="81" t="s">
        <v>145</v>
      </c>
      <c r="I12" s="81" t="s">
        <v>111</v>
      </c>
      <c r="K12" s="81" t="s">
        <v>105</v>
      </c>
    </row>
    <row r="13" spans="1:11">
      <c r="C13" s="132" t="s">
        <v>582</v>
      </c>
      <c r="D13" s="132" t="s">
        <v>178</v>
      </c>
      <c r="E13" s="132" t="str">
        <f t="shared" si="0"/>
        <v>Hwangkum</v>
      </c>
      <c r="F13" s="81" t="s">
        <v>510</v>
      </c>
      <c r="G13" s="81" t="s">
        <v>509</v>
      </c>
      <c r="I13" s="81" t="s">
        <v>484</v>
      </c>
      <c r="K13" s="81" t="s">
        <v>511</v>
      </c>
    </row>
    <row r="14" spans="1:11">
      <c r="C14" s="132" t="s">
        <v>582</v>
      </c>
      <c r="D14" s="132" t="s">
        <v>178</v>
      </c>
      <c r="E14" s="132" t="str">
        <f t="shared" si="0"/>
        <v>Inox</v>
      </c>
      <c r="F14" s="81" t="s">
        <v>100</v>
      </c>
      <c r="G14" s="81" t="s">
        <v>142</v>
      </c>
      <c r="I14" s="81" t="s">
        <v>101</v>
      </c>
      <c r="K14" s="81" t="s">
        <v>105</v>
      </c>
    </row>
    <row r="15" spans="1:11">
      <c r="C15" s="132" t="s">
        <v>582</v>
      </c>
      <c r="D15" s="132" t="s">
        <v>178</v>
      </c>
      <c r="E15" s="132" t="str">
        <f t="shared" si="0"/>
        <v>Iwatani</v>
      </c>
      <c r="F15" s="81" t="s">
        <v>122</v>
      </c>
      <c r="G15" s="81" t="s">
        <v>147</v>
      </c>
      <c r="I15" s="81" t="s">
        <v>119</v>
      </c>
      <c r="K15" s="81" t="s">
        <v>286</v>
      </c>
    </row>
    <row r="16" spans="1:11">
      <c r="C16" s="132" t="s">
        <v>582</v>
      </c>
      <c r="D16" s="132" t="s">
        <v>178</v>
      </c>
      <c r="E16" s="132" t="str">
        <f t="shared" si="0"/>
        <v>Iwatani</v>
      </c>
      <c r="F16" s="81" t="s">
        <v>529</v>
      </c>
      <c r="G16" s="81" t="s">
        <v>530</v>
      </c>
      <c r="I16" s="81" t="s">
        <v>522</v>
      </c>
      <c r="K16" s="81" t="s">
        <v>531</v>
      </c>
    </row>
    <row r="17" spans="3:11">
      <c r="C17" s="132" t="s">
        <v>582</v>
      </c>
      <c r="D17" s="132" t="s">
        <v>178</v>
      </c>
      <c r="E17" s="132" t="str">
        <f t="shared" si="0"/>
        <v>Iwatani</v>
      </c>
      <c r="F17" s="81" t="s">
        <v>529</v>
      </c>
      <c r="G17" s="81" t="s">
        <v>493</v>
      </c>
      <c r="I17" s="81" t="s">
        <v>535</v>
      </c>
      <c r="K17" s="81" t="s">
        <v>536</v>
      </c>
    </row>
    <row r="18" spans="3:11">
      <c r="C18" s="132" t="s">
        <v>582</v>
      </c>
      <c r="D18" s="132" t="s">
        <v>178</v>
      </c>
      <c r="E18" s="132" t="str">
        <f t="shared" si="0"/>
        <v>Jeil</v>
      </c>
      <c r="F18" s="81" t="s">
        <v>491</v>
      </c>
      <c r="G18" s="81" t="s">
        <v>490</v>
      </c>
      <c r="I18" s="81" t="s">
        <v>481</v>
      </c>
      <c r="K18" s="81" t="s">
        <v>492</v>
      </c>
    </row>
    <row r="19" spans="3:11">
      <c r="C19" s="132" t="s">
        <v>582</v>
      </c>
      <c r="D19" s="132" t="s">
        <v>178</v>
      </c>
      <c r="E19" s="132" t="str">
        <f t="shared" si="0"/>
        <v>Lsi</v>
      </c>
      <c r="F19" s="81" t="s">
        <v>547</v>
      </c>
      <c r="G19" s="81" t="s">
        <v>548</v>
      </c>
      <c r="I19" s="81" t="s">
        <v>549</v>
      </c>
      <c r="K19" s="81" t="s">
        <v>550</v>
      </c>
    </row>
    <row r="20" spans="3:11">
      <c r="C20" s="132" t="s">
        <v>582</v>
      </c>
      <c r="D20" s="132" t="s">
        <v>178</v>
      </c>
      <c r="E20" s="132" t="str">
        <f t="shared" si="0"/>
        <v>Myungjin</v>
      </c>
      <c r="F20" s="81" t="s">
        <v>482</v>
      </c>
      <c r="G20" s="81" t="s">
        <v>479</v>
      </c>
      <c r="I20" s="81" t="s">
        <v>481</v>
      </c>
      <c r="K20" s="81" t="s">
        <v>480</v>
      </c>
    </row>
    <row r="21" spans="3:11">
      <c r="C21" s="132" t="s">
        <v>582</v>
      </c>
      <c r="D21" s="132" t="s">
        <v>178</v>
      </c>
      <c r="E21" s="132" t="str">
        <f t="shared" si="0"/>
        <v>Marcegaglia</v>
      </c>
      <c r="F21" s="81" t="s">
        <v>551</v>
      </c>
      <c r="G21" s="81" t="s">
        <v>548</v>
      </c>
      <c r="I21" s="81" t="s">
        <v>549</v>
      </c>
      <c r="K21" s="81" t="s">
        <v>552</v>
      </c>
    </row>
    <row r="22" spans="3:11">
      <c r="C22" s="132" t="s">
        <v>582</v>
      </c>
      <c r="D22" s="132" t="s">
        <v>178</v>
      </c>
      <c r="E22" s="132" t="str">
        <f t="shared" si="0"/>
        <v>Nova</v>
      </c>
      <c r="F22" s="81" t="s">
        <v>113</v>
      </c>
      <c r="G22" s="81" t="s">
        <v>144</v>
      </c>
      <c r="I22" s="81" t="s">
        <v>114</v>
      </c>
      <c r="K22" s="81" t="s">
        <v>115</v>
      </c>
    </row>
    <row r="23" spans="3:11">
      <c r="C23" s="132" t="s">
        <v>582</v>
      </c>
      <c r="D23" s="132" t="s">
        <v>178</v>
      </c>
      <c r="E23" s="132" t="str">
        <f t="shared" si="0"/>
        <v>Nova</v>
      </c>
      <c r="F23" s="81" t="s">
        <v>113</v>
      </c>
      <c r="G23" s="81" t="s">
        <v>495</v>
      </c>
      <c r="I23" s="81" t="s">
        <v>496</v>
      </c>
      <c r="K23" s="81" t="s">
        <v>497</v>
      </c>
    </row>
    <row r="24" spans="3:11">
      <c r="C24" s="132" t="s">
        <v>582</v>
      </c>
      <c r="D24" s="132" t="s">
        <v>178</v>
      </c>
      <c r="E24" s="132" t="str">
        <f t="shared" si="0"/>
        <v>Nova</v>
      </c>
      <c r="F24" s="81" t="s">
        <v>113</v>
      </c>
      <c r="G24" s="81" t="s">
        <v>553</v>
      </c>
      <c r="I24" s="81" t="s">
        <v>554</v>
      </c>
      <c r="K24" s="81" t="s">
        <v>555</v>
      </c>
    </row>
    <row r="25" spans="3:11">
      <c r="C25" s="132" t="s">
        <v>582</v>
      </c>
      <c r="D25" s="132" t="s">
        <v>178</v>
      </c>
      <c r="E25" s="132" t="str">
        <f t="shared" si="0"/>
        <v>Roba</v>
      </c>
      <c r="F25" s="81" t="s">
        <v>129</v>
      </c>
      <c r="G25" s="81" t="s">
        <v>225</v>
      </c>
      <c r="I25" s="81" t="s">
        <v>128</v>
      </c>
      <c r="K25" s="81" t="s">
        <v>130</v>
      </c>
    </row>
    <row r="26" spans="3:11">
      <c r="C26" s="132" t="s">
        <v>582</v>
      </c>
      <c r="D26" s="132" t="s">
        <v>178</v>
      </c>
      <c r="E26" s="132" t="str">
        <f t="shared" si="0"/>
        <v>Shinko</v>
      </c>
      <c r="F26" s="81" t="s">
        <v>120</v>
      </c>
      <c r="G26" s="81" t="s">
        <v>47</v>
      </c>
      <c r="I26" s="81" t="s">
        <v>119</v>
      </c>
      <c r="K26" s="81" t="s">
        <v>121</v>
      </c>
    </row>
    <row r="27" spans="3:11">
      <c r="C27" s="132" t="s">
        <v>582</v>
      </c>
      <c r="D27" s="132" t="s">
        <v>178</v>
      </c>
      <c r="E27" s="132" t="str">
        <f t="shared" si="0"/>
        <v>Shinko</v>
      </c>
      <c r="F27" s="81" t="s">
        <v>523</v>
      </c>
      <c r="G27" s="81" t="s">
        <v>503</v>
      </c>
      <c r="I27" s="81" t="s">
        <v>522</v>
      </c>
      <c r="K27" s="81" t="s">
        <v>524</v>
      </c>
    </row>
    <row r="28" spans="3:11">
      <c r="C28" s="132" t="s">
        <v>582</v>
      </c>
      <c r="D28" s="132" t="s">
        <v>178</v>
      </c>
      <c r="E28" s="132" t="str">
        <f t="shared" si="0"/>
        <v>Shinko</v>
      </c>
      <c r="F28" s="81" t="s">
        <v>523</v>
      </c>
      <c r="G28" s="81" t="s">
        <v>537</v>
      </c>
      <c r="I28" s="81" t="s">
        <v>535</v>
      </c>
      <c r="K28" s="81" t="s">
        <v>538</v>
      </c>
    </row>
    <row r="29" spans="3:11">
      <c r="C29" s="132" t="s">
        <v>582</v>
      </c>
      <c r="D29" s="132" t="s">
        <v>178</v>
      </c>
      <c r="E29" s="132" t="str">
        <f t="shared" si="0"/>
        <v>Taiwan</v>
      </c>
      <c r="F29" s="81" t="s">
        <v>30</v>
      </c>
      <c r="G29" s="81" t="s">
        <v>503</v>
      </c>
      <c r="I29" s="132" t="s">
        <v>522</v>
      </c>
      <c r="K29" s="81" t="s">
        <v>528</v>
      </c>
    </row>
    <row r="30" spans="3:11">
      <c r="C30" s="132" t="s">
        <v>582</v>
      </c>
      <c r="D30" s="132" t="s">
        <v>178</v>
      </c>
      <c r="E30" s="132" t="str">
        <f t="shared" si="0"/>
        <v>Y-Entex</v>
      </c>
      <c r="F30" s="81" t="s">
        <v>525</v>
      </c>
      <c r="G30" s="81" t="s">
        <v>526</v>
      </c>
      <c r="I30" s="81" t="s">
        <v>522</v>
      </c>
      <c r="K30" s="81" t="s">
        <v>527</v>
      </c>
    </row>
    <row r="31" spans="3:11">
      <c r="C31" s="132" t="s">
        <v>582</v>
      </c>
      <c r="D31" s="132" t="s">
        <v>178</v>
      </c>
      <c r="E31" s="132" t="str">
        <f t="shared" si="0"/>
        <v>Yieh</v>
      </c>
      <c r="F31" s="81" t="s">
        <v>137</v>
      </c>
      <c r="G31" s="81" t="s">
        <v>197</v>
      </c>
      <c r="I31" s="81" t="s">
        <v>138</v>
      </c>
      <c r="K31" s="81" t="s">
        <v>464</v>
      </c>
    </row>
    <row r="32" spans="3:11" ht="15.75">
      <c r="C32" s="132" t="s">
        <v>582</v>
      </c>
      <c r="D32" s="132" t="s">
        <v>178</v>
      </c>
      <c r="E32" s="132" t="str">
        <f t="shared" si="0"/>
        <v>屏萬企業</v>
      </c>
      <c r="F32" s="81" t="s">
        <v>232</v>
      </c>
      <c r="G32" s="81" t="s">
        <v>146</v>
      </c>
      <c r="I32" s="81" t="s">
        <v>117</v>
      </c>
      <c r="K32" s="81" t="s">
        <v>118</v>
      </c>
    </row>
    <row r="33" spans="2:11">
      <c r="C33" s="132" t="s">
        <v>582</v>
      </c>
      <c r="D33" s="132" t="s">
        <v>177</v>
      </c>
      <c r="E33" s="132" t="str">
        <f t="shared" si="0"/>
        <v>Alumtan</v>
      </c>
      <c r="F33" s="81" t="s">
        <v>181</v>
      </c>
      <c r="G33" s="81" t="s">
        <v>179</v>
      </c>
      <c r="I33" s="81" t="s">
        <v>180</v>
      </c>
      <c r="K33" s="81" t="s">
        <v>183</v>
      </c>
    </row>
    <row r="34" spans="2:11">
      <c r="C34" s="132" t="s">
        <v>582</v>
      </c>
      <c r="D34" s="132" t="s">
        <v>177</v>
      </c>
      <c r="E34" s="132" t="str">
        <f t="shared" ref="E34:E65" si="1">LEFT(F34, FIND(" ", F34 &amp; " ") - 1)</f>
        <v>Balaji</v>
      </c>
      <c r="F34" s="81" t="s">
        <v>123</v>
      </c>
      <c r="G34" s="81" t="s">
        <v>148</v>
      </c>
      <c r="I34" s="81" t="s">
        <v>124</v>
      </c>
      <c r="K34" s="81" t="s">
        <v>125</v>
      </c>
    </row>
    <row r="35" spans="2:11">
      <c r="C35" s="132" t="s">
        <v>582</v>
      </c>
      <c r="D35" s="132" t="s">
        <v>177</v>
      </c>
      <c r="E35" s="132" t="str">
        <f t="shared" si="1"/>
        <v>Bayar</v>
      </c>
      <c r="F35" s="81" t="s">
        <v>209</v>
      </c>
      <c r="G35" s="81" t="s">
        <v>47</v>
      </c>
      <c r="I35" s="81" t="s">
        <v>210</v>
      </c>
      <c r="K35" s="81" t="s">
        <v>572</v>
      </c>
    </row>
    <row r="36" spans="2:11">
      <c r="C36" s="132" t="s">
        <v>582</v>
      </c>
      <c r="D36" s="132" t="s">
        <v>177</v>
      </c>
      <c r="E36" s="132" t="str">
        <f t="shared" si="1"/>
        <v>Best</v>
      </c>
      <c r="F36" s="81" t="s">
        <v>233</v>
      </c>
      <c r="G36" s="81" t="s">
        <v>236</v>
      </c>
      <c r="I36" s="81" t="s">
        <v>235</v>
      </c>
      <c r="K36" s="81" t="s">
        <v>234</v>
      </c>
    </row>
    <row r="37" spans="2:11">
      <c r="B37" s="81"/>
      <c r="C37" s="132" t="s">
        <v>582</v>
      </c>
      <c r="D37" s="132" t="s">
        <v>177</v>
      </c>
      <c r="E37" s="132" t="str">
        <f t="shared" si="1"/>
        <v>Cheongfuli</v>
      </c>
      <c r="F37" s="81" t="s">
        <v>508</v>
      </c>
      <c r="G37" s="81" t="s">
        <v>479</v>
      </c>
      <c r="I37" s="81" t="s">
        <v>506</v>
      </c>
      <c r="K37" s="81" t="s">
        <v>212</v>
      </c>
    </row>
    <row r="38" spans="2:11">
      <c r="C38" s="132" t="s">
        <v>582</v>
      </c>
      <c r="D38" s="132" t="s">
        <v>177</v>
      </c>
      <c r="E38" s="132" t="str">
        <f t="shared" si="1"/>
        <v>DMS</v>
      </c>
      <c r="F38" s="81" t="s">
        <v>159</v>
      </c>
      <c r="G38" s="81" t="s">
        <v>225</v>
      </c>
      <c r="H38" s="81"/>
      <c r="I38" s="81" t="s">
        <v>160</v>
      </c>
      <c r="K38" s="81" t="s">
        <v>150</v>
      </c>
    </row>
    <row r="39" spans="2:11">
      <c r="C39" s="132" t="s">
        <v>582</v>
      </c>
      <c r="D39" s="132" t="s">
        <v>177</v>
      </c>
      <c r="E39" s="132" t="str">
        <f t="shared" si="1"/>
        <v>Expertinox</v>
      </c>
      <c r="F39" s="81" t="s">
        <v>217</v>
      </c>
      <c r="G39" s="81" t="s">
        <v>201</v>
      </c>
      <c r="I39" s="81" t="s">
        <v>219</v>
      </c>
      <c r="K39" s="81" t="s">
        <v>218</v>
      </c>
    </row>
    <row r="40" spans="2:11">
      <c r="C40" s="132" t="s">
        <v>582</v>
      </c>
      <c r="D40" s="132" t="s">
        <v>177</v>
      </c>
      <c r="E40" s="132" t="str">
        <f t="shared" si="1"/>
        <v>Fivetec</v>
      </c>
      <c r="F40" s="81" t="s">
        <v>501</v>
      </c>
      <c r="G40" s="81" t="s">
        <v>503</v>
      </c>
      <c r="I40" s="81" t="s">
        <v>502</v>
      </c>
      <c r="K40" s="81" t="s">
        <v>504</v>
      </c>
    </row>
    <row r="41" spans="2:11">
      <c r="C41" s="132" t="s">
        <v>582</v>
      </c>
      <c r="D41" s="132" t="s">
        <v>177</v>
      </c>
      <c r="E41" s="132" t="str">
        <f t="shared" si="1"/>
        <v>GKY</v>
      </c>
      <c r="F41" s="81" t="s">
        <v>237</v>
      </c>
      <c r="G41" s="81" t="s">
        <v>518</v>
      </c>
      <c r="I41" s="81" t="s">
        <v>175</v>
      </c>
      <c r="K41" s="81" t="s">
        <v>238</v>
      </c>
    </row>
    <row r="42" spans="2:11">
      <c r="C42" s="132" t="s">
        <v>582</v>
      </c>
      <c r="D42" s="132" t="s">
        <v>177</v>
      </c>
      <c r="E42" s="132" t="str">
        <f t="shared" si="1"/>
        <v>Guangzhou</v>
      </c>
      <c r="F42" s="81" t="s">
        <v>171</v>
      </c>
      <c r="G42" s="81" t="s">
        <v>170</v>
      </c>
      <c r="I42" s="81" t="s">
        <v>172</v>
      </c>
      <c r="K42" s="81" t="s">
        <v>460</v>
      </c>
    </row>
    <row r="43" spans="2:11">
      <c r="C43" s="132" t="s">
        <v>582</v>
      </c>
      <c r="D43" s="132" t="s">
        <v>177</v>
      </c>
      <c r="E43" s="132" t="str">
        <f t="shared" si="1"/>
        <v>Heap</v>
      </c>
      <c r="F43" s="81" t="s">
        <v>226</v>
      </c>
      <c r="G43" s="81" t="s">
        <v>47</v>
      </c>
      <c r="I43" s="81" t="s">
        <v>180</v>
      </c>
      <c r="K43" s="81" t="s">
        <v>227</v>
      </c>
    </row>
    <row r="44" spans="2:11">
      <c r="C44" s="132" t="s">
        <v>582</v>
      </c>
      <c r="D44" s="132" t="s">
        <v>177</v>
      </c>
      <c r="E44" s="132" t="str">
        <f t="shared" si="1"/>
        <v>Italinox</v>
      </c>
      <c r="F44" s="81" t="s">
        <v>134</v>
      </c>
      <c r="G44" s="81" t="s">
        <v>152</v>
      </c>
      <c r="I44" s="81" t="s">
        <v>135</v>
      </c>
      <c r="K44" s="81" t="s">
        <v>136</v>
      </c>
    </row>
    <row r="45" spans="2:11">
      <c r="C45" s="132" t="s">
        <v>582</v>
      </c>
      <c r="D45" s="132" t="s">
        <v>177</v>
      </c>
      <c r="E45" s="132" t="str">
        <f t="shared" si="1"/>
        <v>Iwatani</v>
      </c>
      <c r="F45" s="81" t="s">
        <v>193</v>
      </c>
      <c r="G45" s="81" t="s">
        <v>176</v>
      </c>
      <c r="I45" s="81" t="s">
        <v>192</v>
      </c>
      <c r="K45" s="81" t="s">
        <v>461</v>
      </c>
    </row>
    <row r="46" spans="2:11">
      <c r="C46" s="132" t="s">
        <v>582</v>
      </c>
      <c r="D46" s="132" t="s">
        <v>177</v>
      </c>
      <c r="E46" s="132" t="str">
        <f t="shared" si="1"/>
        <v>Kanzen</v>
      </c>
      <c r="F46" s="81" t="s">
        <v>157</v>
      </c>
      <c r="G46" s="81" t="s">
        <v>156</v>
      </c>
      <c r="I46" s="81" t="s">
        <v>154</v>
      </c>
      <c r="K46" s="81" t="s">
        <v>158</v>
      </c>
    </row>
    <row r="47" spans="2:11">
      <c r="C47" s="132" t="s">
        <v>582</v>
      </c>
      <c r="D47" s="132" t="s">
        <v>177</v>
      </c>
      <c r="E47" s="132" t="str">
        <f t="shared" si="1"/>
        <v>Kentzu</v>
      </c>
      <c r="F47" s="81" t="s">
        <v>153</v>
      </c>
      <c r="G47" s="81" t="s">
        <v>152</v>
      </c>
      <c r="I47" s="81" t="s">
        <v>175</v>
      </c>
      <c r="K47" s="81" t="s">
        <v>155</v>
      </c>
    </row>
    <row r="48" spans="2:11">
      <c r="C48" s="132" t="s">
        <v>582</v>
      </c>
      <c r="D48" s="132" t="s">
        <v>177</v>
      </c>
      <c r="E48" s="132" t="str">
        <f t="shared" si="1"/>
        <v>Kentzu</v>
      </c>
      <c r="F48" s="81" t="s">
        <v>556</v>
      </c>
      <c r="G48" s="81" t="s">
        <v>557</v>
      </c>
      <c r="I48" s="81" t="s">
        <v>506</v>
      </c>
      <c r="K48" s="81" t="s">
        <v>558</v>
      </c>
    </row>
    <row r="49" spans="3:11">
      <c r="C49" s="132" t="s">
        <v>582</v>
      </c>
      <c r="D49" s="132" t="s">
        <v>177</v>
      </c>
      <c r="E49" s="132" t="str">
        <f t="shared" si="1"/>
        <v>Key</v>
      </c>
      <c r="F49" s="81" t="s">
        <v>173</v>
      </c>
      <c r="G49" s="81" t="s">
        <v>47</v>
      </c>
      <c r="I49" s="81" t="s">
        <v>175</v>
      </c>
      <c r="K49" s="81" t="s">
        <v>174</v>
      </c>
    </row>
    <row r="50" spans="3:11">
      <c r="C50" s="132" t="s">
        <v>582</v>
      </c>
      <c r="D50" s="132" t="s">
        <v>177</v>
      </c>
      <c r="E50" s="132" t="str">
        <f t="shared" si="1"/>
        <v>KIBO</v>
      </c>
      <c r="F50" s="81" t="s">
        <v>206</v>
      </c>
      <c r="G50" s="81" t="s">
        <v>519</v>
      </c>
      <c r="I50" s="81" t="s">
        <v>208</v>
      </c>
      <c r="K50" s="81" t="s">
        <v>207</v>
      </c>
    </row>
    <row r="51" spans="3:11">
      <c r="C51" s="132" t="s">
        <v>582</v>
      </c>
      <c r="D51" s="132" t="s">
        <v>177</v>
      </c>
      <c r="E51" s="132" t="str">
        <f t="shared" si="1"/>
        <v>KIBO</v>
      </c>
      <c r="F51" s="81" t="s">
        <v>206</v>
      </c>
      <c r="G51" s="81" t="s">
        <v>576</v>
      </c>
      <c r="I51" s="81" t="s">
        <v>208</v>
      </c>
      <c r="K51" s="81" t="s">
        <v>207</v>
      </c>
    </row>
    <row r="52" spans="3:11">
      <c r="C52" s="132" t="s">
        <v>582</v>
      </c>
      <c r="D52" s="132" t="s">
        <v>177</v>
      </c>
      <c r="E52" s="132" t="str">
        <f t="shared" si="1"/>
        <v>KTT</v>
      </c>
      <c r="F52" s="81" t="s">
        <v>514</v>
      </c>
      <c r="G52" s="81" t="s">
        <v>512</v>
      </c>
      <c r="I52" s="81" t="s">
        <v>515</v>
      </c>
      <c r="K52" s="81" t="s">
        <v>516</v>
      </c>
    </row>
    <row r="53" spans="3:11">
      <c r="C53" s="132" t="s">
        <v>582</v>
      </c>
      <c r="D53" s="132" t="s">
        <v>177</v>
      </c>
      <c r="E53" s="132" t="str">
        <f t="shared" si="1"/>
        <v>Koden</v>
      </c>
      <c r="F53" s="81" t="s">
        <v>198</v>
      </c>
      <c r="G53" s="81" t="s">
        <v>517</v>
      </c>
      <c r="I53" s="81" t="s">
        <v>200</v>
      </c>
      <c r="K53" s="81" t="s">
        <v>199</v>
      </c>
    </row>
    <row r="54" spans="3:11">
      <c r="C54" s="132" t="s">
        <v>582</v>
      </c>
      <c r="D54" s="132" t="s">
        <v>177</v>
      </c>
      <c r="E54" s="132" t="str">
        <f t="shared" si="1"/>
        <v>Key</v>
      </c>
      <c r="F54" s="81" t="s">
        <v>505</v>
      </c>
      <c r="G54" s="81" t="s">
        <v>503</v>
      </c>
      <c r="I54" s="81" t="s">
        <v>506</v>
      </c>
      <c r="K54" s="81" t="s">
        <v>507</v>
      </c>
    </row>
    <row r="55" spans="3:11">
      <c r="C55" s="132" t="s">
        <v>582</v>
      </c>
      <c r="D55" s="132" t="s">
        <v>177</v>
      </c>
      <c r="E55" s="132" t="str">
        <f t="shared" si="1"/>
        <v>Lachesis</v>
      </c>
      <c r="F55" s="81" t="s">
        <v>223</v>
      </c>
      <c r="G55" s="81" t="s">
        <v>47</v>
      </c>
      <c r="I55" s="81" t="s">
        <v>224</v>
      </c>
      <c r="K55" s="81" t="s">
        <v>150</v>
      </c>
    </row>
    <row r="56" spans="3:11">
      <c r="C56" s="132" t="s">
        <v>582</v>
      </c>
      <c r="D56" s="132" t="s">
        <v>177</v>
      </c>
      <c r="E56" s="132" t="str">
        <f t="shared" si="1"/>
        <v>Lachesis</v>
      </c>
      <c r="F56" s="81" t="s">
        <v>149</v>
      </c>
      <c r="G56" s="81" t="s">
        <v>47</v>
      </c>
      <c r="I56" s="81" t="s">
        <v>151</v>
      </c>
      <c r="K56" s="81" t="s">
        <v>150</v>
      </c>
    </row>
    <row r="57" spans="3:11">
      <c r="C57" s="132" t="s">
        <v>582</v>
      </c>
      <c r="D57" s="132" t="s">
        <v>177</v>
      </c>
      <c r="E57" s="132" t="str">
        <f t="shared" si="1"/>
        <v>Metal</v>
      </c>
      <c r="F57" s="81" t="s">
        <v>229</v>
      </c>
      <c r="G57" s="81" t="s">
        <v>228</v>
      </c>
      <c r="I57" s="81" t="s">
        <v>230</v>
      </c>
      <c r="K57" s="81" t="s">
        <v>231</v>
      </c>
    </row>
    <row r="58" spans="3:11">
      <c r="C58" s="132" t="s">
        <v>582</v>
      </c>
      <c r="D58" s="132" t="s">
        <v>177</v>
      </c>
      <c r="E58" s="132" t="str">
        <f t="shared" si="1"/>
        <v>Minox</v>
      </c>
      <c r="F58" s="81" t="s">
        <v>569</v>
      </c>
      <c r="G58" s="81" t="s">
        <v>532</v>
      </c>
      <c r="I58" s="81" t="s">
        <v>570</v>
      </c>
      <c r="K58" s="81" t="s">
        <v>571</v>
      </c>
    </row>
    <row r="59" spans="3:11">
      <c r="C59" s="132" t="s">
        <v>582</v>
      </c>
      <c r="D59" s="132" t="s">
        <v>177</v>
      </c>
      <c r="E59" s="132" t="str">
        <f t="shared" si="1"/>
        <v>Nord</v>
      </c>
      <c r="F59" s="81" t="s">
        <v>140</v>
      </c>
      <c r="G59" s="81" t="s">
        <v>156</v>
      </c>
      <c r="I59" s="81" t="s">
        <v>139</v>
      </c>
      <c r="K59" s="81" t="s">
        <v>141</v>
      </c>
    </row>
    <row r="60" spans="3:11">
      <c r="C60" s="132" t="s">
        <v>582</v>
      </c>
      <c r="D60" s="132" t="s">
        <v>177</v>
      </c>
      <c r="E60" s="132" t="str">
        <f t="shared" si="1"/>
        <v>Nova</v>
      </c>
      <c r="F60" s="81" t="s">
        <v>563</v>
      </c>
      <c r="G60" s="81" t="s">
        <v>465</v>
      </c>
      <c r="I60" s="81" t="s">
        <v>564</v>
      </c>
      <c r="K60" s="81" t="s">
        <v>565</v>
      </c>
    </row>
    <row r="61" spans="3:11">
      <c r="C61" s="132" t="s">
        <v>582</v>
      </c>
      <c r="D61" s="132" t="s">
        <v>177</v>
      </c>
      <c r="E61" s="132" t="str">
        <f t="shared" si="1"/>
        <v>Olbert</v>
      </c>
      <c r="F61" s="81" t="s">
        <v>458</v>
      </c>
      <c r="G61" s="81" t="s">
        <v>465</v>
      </c>
      <c r="I61" s="81" t="s">
        <v>466</v>
      </c>
      <c r="K61" s="81" t="s">
        <v>459</v>
      </c>
    </row>
    <row r="62" spans="3:11">
      <c r="C62" s="132" t="s">
        <v>582</v>
      </c>
      <c r="D62" s="132" t="s">
        <v>177</v>
      </c>
      <c r="E62" s="132" t="str">
        <f t="shared" si="1"/>
        <v>Phoenix</v>
      </c>
      <c r="F62" s="81" t="s">
        <v>131</v>
      </c>
      <c r="G62" s="81" t="s">
        <v>202</v>
      </c>
      <c r="I62" s="81" t="s">
        <v>133</v>
      </c>
      <c r="K62" s="81" t="s">
        <v>132</v>
      </c>
    </row>
    <row r="63" spans="3:11">
      <c r="C63" s="132" t="s">
        <v>582</v>
      </c>
      <c r="D63" s="132" t="s">
        <v>177</v>
      </c>
      <c r="E63" s="132" t="str">
        <f t="shared" si="1"/>
        <v>Saraswati</v>
      </c>
      <c r="F63" s="81" t="s">
        <v>195</v>
      </c>
      <c r="G63" s="81" t="s">
        <v>214</v>
      </c>
      <c r="I63" s="81" t="s">
        <v>194</v>
      </c>
      <c r="K63" s="81" t="s">
        <v>196</v>
      </c>
    </row>
    <row r="64" spans="3:11">
      <c r="C64" s="132" t="s">
        <v>582</v>
      </c>
      <c r="D64" s="132" t="s">
        <v>177</v>
      </c>
      <c r="E64" s="132" t="str">
        <f t="shared" si="1"/>
        <v>Sumiputeh</v>
      </c>
      <c r="F64" s="81" t="s">
        <v>203</v>
      </c>
      <c r="G64" s="81" t="s">
        <v>205</v>
      </c>
      <c r="I64" s="81" t="s">
        <v>154</v>
      </c>
      <c r="K64" s="81" t="s">
        <v>204</v>
      </c>
    </row>
    <row r="65" spans="2:11">
      <c r="C65" s="132" t="s">
        <v>582</v>
      </c>
      <c r="D65" s="132" t="s">
        <v>177</v>
      </c>
      <c r="E65" s="132" t="str">
        <f t="shared" si="1"/>
        <v>Sumitomo</v>
      </c>
      <c r="F65" s="81" t="s">
        <v>185</v>
      </c>
      <c r="G65" s="81" t="s">
        <v>47</v>
      </c>
      <c r="I65" s="81" t="s">
        <v>184</v>
      </c>
      <c r="K65" s="81" t="s">
        <v>182</v>
      </c>
    </row>
    <row r="66" spans="2:11">
      <c r="C66" s="132" t="s">
        <v>582</v>
      </c>
      <c r="D66" s="132" t="s">
        <v>177</v>
      </c>
      <c r="E66" s="132" t="str">
        <f t="shared" ref="E66:E77" si="2">LEFT(F66, FIND(" ", F66 &amp; " ") - 1)</f>
        <v>Sumitomo</v>
      </c>
      <c r="F66" s="81" t="s">
        <v>185</v>
      </c>
      <c r="G66" s="81" t="s">
        <v>186</v>
      </c>
      <c r="I66" s="81" t="s">
        <v>184</v>
      </c>
      <c r="K66" s="81" t="s">
        <v>187</v>
      </c>
    </row>
    <row r="67" spans="2:11">
      <c r="C67" s="132" t="s">
        <v>582</v>
      </c>
      <c r="D67" s="132" t="s">
        <v>177</v>
      </c>
      <c r="E67" s="132" t="str">
        <f t="shared" si="2"/>
        <v>T.P.</v>
      </c>
      <c r="F67" s="81" t="s">
        <v>168</v>
      </c>
      <c r="G67" s="81" t="s">
        <v>166</v>
      </c>
      <c r="I67" s="81" t="s">
        <v>167</v>
      </c>
      <c r="K67" s="81" t="s">
        <v>169</v>
      </c>
    </row>
    <row r="68" spans="2:11">
      <c r="C68" s="132" t="s">
        <v>582</v>
      </c>
      <c r="D68" s="132" t="s">
        <v>177</v>
      </c>
      <c r="E68" s="132" t="str">
        <f t="shared" si="2"/>
        <v>Taiwan</v>
      </c>
      <c r="F68" s="130" t="s">
        <v>126</v>
      </c>
      <c r="G68" s="81" t="s">
        <v>176</v>
      </c>
      <c r="I68" s="81" t="s">
        <v>127</v>
      </c>
      <c r="K68" s="81" t="s">
        <v>462</v>
      </c>
    </row>
    <row r="69" spans="2:11">
      <c r="C69" s="132" t="s">
        <v>582</v>
      </c>
      <c r="D69" s="132" t="s">
        <v>177</v>
      </c>
      <c r="E69" s="132" t="str">
        <f t="shared" si="2"/>
        <v>Taiwan</v>
      </c>
      <c r="F69" s="130" t="s">
        <v>539</v>
      </c>
      <c r="G69" s="81" t="s">
        <v>540</v>
      </c>
      <c r="I69" s="81" t="s">
        <v>541</v>
      </c>
      <c r="K69" s="81" t="s">
        <v>542</v>
      </c>
    </row>
    <row r="70" spans="2:11">
      <c r="C70" s="132" t="s">
        <v>582</v>
      </c>
      <c r="D70" s="132" t="s">
        <v>177</v>
      </c>
      <c r="E70" s="132" t="str">
        <f t="shared" si="2"/>
        <v>TSA</v>
      </c>
      <c r="F70" s="81" t="s">
        <v>239</v>
      </c>
      <c r="G70" s="81" t="s">
        <v>47</v>
      </c>
      <c r="I70" s="81" t="s">
        <v>175</v>
      </c>
      <c r="K70" s="81" t="s">
        <v>240</v>
      </c>
    </row>
    <row r="71" spans="2:11">
      <c r="C71" s="132" t="s">
        <v>582</v>
      </c>
      <c r="D71" s="132" t="s">
        <v>177</v>
      </c>
      <c r="E71" s="132" t="str">
        <f t="shared" si="2"/>
        <v>UST</v>
      </c>
      <c r="F71" s="81" t="s">
        <v>577</v>
      </c>
      <c r="G71" s="81" t="s">
        <v>578</v>
      </c>
      <c r="I71" s="81" t="s">
        <v>579</v>
      </c>
      <c r="K71" s="81" t="s">
        <v>580</v>
      </c>
    </row>
    <row r="72" spans="2:11">
      <c r="C72" s="132" t="s">
        <v>582</v>
      </c>
      <c r="D72" s="132" t="s">
        <v>177</v>
      </c>
      <c r="E72" s="132" t="str">
        <f t="shared" si="2"/>
        <v>Walsin</v>
      </c>
      <c r="F72" s="81" t="s">
        <v>221</v>
      </c>
      <c r="G72" s="81" t="s">
        <v>220</v>
      </c>
      <c r="I72" s="81" t="s">
        <v>175</v>
      </c>
      <c r="K72" s="81" t="s">
        <v>222</v>
      </c>
    </row>
    <row r="73" spans="2:11">
      <c r="C73" s="132" t="s">
        <v>582</v>
      </c>
      <c r="D73" s="132" t="s">
        <v>177</v>
      </c>
      <c r="E73" s="132" t="str">
        <f t="shared" si="2"/>
        <v>Yankong</v>
      </c>
      <c r="F73" s="81" t="s">
        <v>213</v>
      </c>
      <c r="G73" s="81" t="s">
        <v>211</v>
      </c>
      <c r="I73" s="81" t="s">
        <v>175</v>
      </c>
      <c r="K73" s="81" t="s">
        <v>212</v>
      </c>
    </row>
    <row r="74" spans="2:11">
      <c r="C74" s="132" t="s">
        <v>582</v>
      </c>
      <c r="D74" s="132" t="s">
        <v>177</v>
      </c>
      <c r="E74" s="132" t="str">
        <f t="shared" si="2"/>
        <v>Yieh</v>
      </c>
      <c r="F74" s="81" t="s">
        <v>215</v>
      </c>
      <c r="G74" s="81" t="s">
        <v>211</v>
      </c>
      <c r="I74" s="81" t="s">
        <v>216</v>
      </c>
      <c r="K74" s="81" t="s">
        <v>463</v>
      </c>
    </row>
    <row r="75" spans="2:11">
      <c r="C75" s="132" t="s">
        <v>241</v>
      </c>
      <c r="D75" s="132" t="s">
        <v>177</v>
      </c>
      <c r="E75" s="132" t="str">
        <f t="shared" si="2"/>
        <v>Yieh</v>
      </c>
      <c r="F75" s="81" t="s">
        <v>137</v>
      </c>
      <c r="G75" s="81" t="s">
        <v>211</v>
      </c>
      <c r="I75" s="81" t="s">
        <v>138</v>
      </c>
      <c r="K75" s="81" t="s">
        <v>593</v>
      </c>
    </row>
    <row r="76" spans="2:11">
      <c r="C76" s="132" t="s">
        <v>582</v>
      </c>
      <c r="D76" s="132" t="s">
        <v>177</v>
      </c>
      <c r="E76" s="132" t="str">
        <f t="shared" si="2"/>
        <v>Yieh</v>
      </c>
      <c r="F76" s="81" t="s">
        <v>137</v>
      </c>
      <c r="G76" s="81" t="s">
        <v>575</v>
      </c>
      <c r="I76" s="81" t="s">
        <v>573</v>
      </c>
      <c r="K76" s="81" t="s">
        <v>574</v>
      </c>
    </row>
    <row r="77" spans="2:11">
      <c r="C77" s="132" t="s">
        <v>582</v>
      </c>
      <c r="D77" s="132" t="s">
        <v>177</v>
      </c>
      <c r="E77" s="132" t="str">
        <f t="shared" si="2"/>
        <v>YOSHU</v>
      </c>
      <c r="F77" s="81" t="s">
        <v>188</v>
      </c>
      <c r="G77" s="81" t="s">
        <v>189</v>
      </c>
      <c r="I77" s="81" t="s">
        <v>190</v>
      </c>
      <c r="K77" s="81" t="s">
        <v>191</v>
      </c>
    </row>
    <row r="78" spans="2:11">
      <c r="C78" s="132" t="s">
        <v>594</v>
      </c>
      <c r="D78" s="132" t="s">
        <v>595</v>
      </c>
      <c r="I78" s="81"/>
    </row>
    <row r="79" spans="2:11">
      <c r="F79" s="81"/>
      <c r="I79" s="81"/>
    </row>
    <row r="80" spans="2:11">
      <c r="B80" s="81" t="s">
        <v>584</v>
      </c>
      <c r="C80" s="81"/>
      <c r="D80" s="132" t="s">
        <v>178</v>
      </c>
      <c r="F80" s="81" t="s">
        <v>32</v>
      </c>
      <c r="G80" s="81" t="s">
        <v>335</v>
      </c>
      <c r="I80" s="81" t="s">
        <v>336</v>
      </c>
      <c r="K80" s="81" t="s">
        <v>337</v>
      </c>
    </row>
    <row r="81" spans="4:12">
      <c r="D81" s="132" t="s">
        <v>178</v>
      </c>
      <c r="F81" s="81" t="s">
        <v>338</v>
      </c>
      <c r="G81" s="81" t="s">
        <v>339</v>
      </c>
      <c r="H81" s="81"/>
      <c r="I81" s="81" t="s">
        <v>336</v>
      </c>
      <c r="K81" s="81" t="s">
        <v>340</v>
      </c>
    </row>
    <row r="82" spans="4:12">
      <c r="D82" s="132" t="s">
        <v>178</v>
      </c>
      <c r="F82" s="81" t="s">
        <v>341</v>
      </c>
      <c r="G82" s="81" t="s">
        <v>342</v>
      </c>
      <c r="H82" s="81"/>
      <c r="I82" s="81" t="s">
        <v>343</v>
      </c>
      <c r="K82" s="81" t="s">
        <v>344</v>
      </c>
    </row>
    <row r="83" spans="4:12">
      <c r="D83" s="132" t="s">
        <v>178</v>
      </c>
      <c r="F83" s="81" t="s">
        <v>345</v>
      </c>
      <c r="G83" s="81" t="s">
        <v>346</v>
      </c>
      <c r="H83" s="81"/>
      <c r="I83" s="81" t="s">
        <v>336</v>
      </c>
      <c r="K83" s="81" t="s">
        <v>347</v>
      </c>
      <c r="L83" s="81"/>
    </row>
    <row r="84" spans="4:12">
      <c r="D84" s="132" t="s">
        <v>178</v>
      </c>
      <c r="F84" s="81" t="s">
        <v>348</v>
      </c>
      <c r="G84" s="81" t="s">
        <v>349</v>
      </c>
      <c r="H84" s="81"/>
      <c r="I84" s="81" t="s">
        <v>336</v>
      </c>
      <c r="K84" s="81" t="s">
        <v>350</v>
      </c>
      <c r="L84" s="81"/>
    </row>
    <row r="85" spans="4:12">
      <c r="D85" s="132" t="s">
        <v>178</v>
      </c>
      <c r="F85" s="81" t="s">
        <v>351</v>
      </c>
      <c r="G85" s="81" t="s">
        <v>352</v>
      </c>
      <c r="H85" s="81"/>
      <c r="I85" s="81" t="s">
        <v>353</v>
      </c>
      <c r="K85" s="81" t="s">
        <v>354</v>
      </c>
      <c r="L85" s="81"/>
    </row>
    <row r="86" spans="4:12">
      <c r="D86" s="132" t="s">
        <v>178</v>
      </c>
      <c r="F86" s="81" t="s">
        <v>355</v>
      </c>
      <c r="G86" s="81" t="s">
        <v>356</v>
      </c>
      <c r="H86" s="81"/>
      <c r="I86" s="81" t="s">
        <v>357</v>
      </c>
      <c r="K86" s="81" t="s">
        <v>358</v>
      </c>
      <c r="L86" s="81"/>
    </row>
    <row r="87" spans="4:12">
      <c r="D87" s="132" t="s">
        <v>178</v>
      </c>
      <c r="F87" s="81" t="s">
        <v>359</v>
      </c>
      <c r="G87" s="81" t="s">
        <v>356</v>
      </c>
      <c r="H87" s="81"/>
      <c r="I87" s="81" t="s">
        <v>357</v>
      </c>
      <c r="K87" s="81" t="s">
        <v>360</v>
      </c>
      <c r="L87" s="81"/>
    </row>
    <row r="88" spans="4:12">
      <c r="D88" s="132" t="s">
        <v>178</v>
      </c>
      <c r="F88" s="81" t="s">
        <v>361</v>
      </c>
      <c r="G88" s="81" t="s">
        <v>362</v>
      </c>
      <c r="H88" s="81"/>
      <c r="I88" s="81" t="s">
        <v>357</v>
      </c>
      <c r="K88" s="81" t="s">
        <v>360</v>
      </c>
      <c r="L88" s="81"/>
    </row>
    <row r="89" spans="4:12">
      <c r="D89" s="132" t="s">
        <v>178</v>
      </c>
      <c r="F89" s="81" t="s">
        <v>363</v>
      </c>
      <c r="G89" s="81" t="s">
        <v>364</v>
      </c>
      <c r="H89" s="81"/>
      <c r="I89" s="81" t="s">
        <v>365</v>
      </c>
      <c r="K89" s="81" t="s">
        <v>366</v>
      </c>
      <c r="L89" s="81"/>
    </row>
    <row r="90" spans="4:12">
      <c r="D90" s="132" t="s">
        <v>178</v>
      </c>
      <c r="F90" s="81" t="s">
        <v>367</v>
      </c>
      <c r="G90" s="81" t="s">
        <v>368</v>
      </c>
      <c r="H90" s="81"/>
      <c r="I90" s="81" t="s">
        <v>369</v>
      </c>
      <c r="K90" s="81" t="s">
        <v>370</v>
      </c>
      <c r="L90" s="81"/>
    </row>
    <row r="91" spans="4:12">
      <c r="D91" s="132" t="s">
        <v>178</v>
      </c>
      <c r="F91" s="81" t="s">
        <v>371</v>
      </c>
      <c r="G91" s="81" t="s">
        <v>372</v>
      </c>
      <c r="I91" s="81" t="s">
        <v>373</v>
      </c>
      <c r="K91" s="81" t="s">
        <v>374</v>
      </c>
      <c r="L91" s="81"/>
    </row>
    <row r="92" spans="4:12">
      <c r="D92" s="132" t="s">
        <v>178</v>
      </c>
      <c r="F92" s="81" t="s">
        <v>341</v>
      </c>
      <c r="G92" s="81" t="s">
        <v>342</v>
      </c>
      <c r="H92" s="81"/>
      <c r="I92" s="81" t="s">
        <v>343</v>
      </c>
      <c r="K92" s="81" t="s">
        <v>375</v>
      </c>
      <c r="L92" s="81"/>
    </row>
    <row r="93" spans="4:12">
      <c r="D93" s="132" t="s">
        <v>178</v>
      </c>
      <c r="F93" s="81" t="s">
        <v>376</v>
      </c>
      <c r="G93" s="81" t="s">
        <v>377</v>
      </c>
      <c r="H93" s="81"/>
      <c r="I93" s="81" t="s">
        <v>378</v>
      </c>
      <c r="K93" s="81" t="s">
        <v>379</v>
      </c>
      <c r="L93" s="81"/>
    </row>
    <row r="94" spans="4:12">
      <c r="D94" s="132" t="s">
        <v>178</v>
      </c>
      <c r="F94" s="81" t="s">
        <v>380</v>
      </c>
      <c r="G94" s="81" t="s">
        <v>381</v>
      </c>
      <c r="H94" s="81"/>
      <c r="I94" s="81" t="s">
        <v>336</v>
      </c>
      <c r="K94" s="81" t="s">
        <v>382</v>
      </c>
      <c r="L94" s="81"/>
    </row>
    <row r="95" spans="4:12">
      <c r="D95" s="132" t="s">
        <v>178</v>
      </c>
      <c r="F95" s="132" t="s">
        <v>383</v>
      </c>
      <c r="G95" s="81" t="s">
        <v>384</v>
      </c>
      <c r="I95" s="81" t="s">
        <v>336</v>
      </c>
      <c r="K95" s="81" t="s">
        <v>385</v>
      </c>
      <c r="L95" s="81"/>
    </row>
    <row r="96" spans="4:12">
      <c r="D96" s="132" t="s">
        <v>178</v>
      </c>
      <c r="F96" s="81" t="s">
        <v>338</v>
      </c>
      <c r="G96" s="81" t="s">
        <v>386</v>
      </c>
      <c r="H96" s="81"/>
      <c r="I96" s="81" t="s">
        <v>336</v>
      </c>
      <c r="K96" s="81" t="s">
        <v>387</v>
      </c>
    </row>
    <row r="97" spans="4:11">
      <c r="D97" s="132" t="s">
        <v>178</v>
      </c>
      <c r="F97" s="81" t="s">
        <v>345</v>
      </c>
      <c r="G97" s="81" t="s">
        <v>346</v>
      </c>
      <c r="H97" s="81"/>
      <c r="I97" s="81" t="s">
        <v>336</v>
      </c>
      <c r="K97" s="81" t="s">
        <v>388</v>
      </c>
    </row>
    <row r="98" spans="4:11">
      <c r="D98" s="132" t="s">
        <v>178</v>
      </c>
      <c r="F98" s="81" t="s">
        <v>389</v>
      </c>
      <c r="G98" s="81" t="s">
        <v>390</v>
      </c>
      <c r="H98" s="81"/>
      <c r="I98" s="81" t="s">
        <v>365</v>
      </c>
      <c r="K98" s="81" t="s">
        <v>391</v>
      </c>
    </row>
    <row r="99" spans="4:11">
      <c r="D99" s="132" t="s">
        <v>178</v>
      </c>
      <c r="F99" s="81" t="s">
        <v>392</v>
      </c>
      <c r="G99" s="81" t="s">
        <v>390</v>
      </c>
      <c r="H99" s="81"/>
      <c r="I99" s="81" t="s">
        <v>393</v>
      </c>
      <c r="K99" s="81" t="s">
        <v>391</v>
      </c>
    </row>
    <row r="100" spans="4:11">
      <c r="D100" s="132" t="s">
        <v>178</v>
      </c>
      <c r="F100" s="81" t="s">
        <v>394</v>
      </c>
      <c r="G100" s="81" t="s">
        <v>395</v>
      </c>
      <c r="H100" s="81"/>
      <c r="I100" s="81" t="s">
        <v>357</v>
      </c>
      <c r="K100" s="81" t="s">
        <v>396</v>
      </c>
    </row>
    <row r="101" spans="4:11">
      <c r="D101" s="132" t="s">
        <v>177</v>
      </c>
      <c r="F101" s="81" t="s">
        <v>397</v>
      </c>
      <c r="G101" s="81" t="s">
        <v>398</v>
      </c>
      <c r="H101" s="81"/>
      <c r="I101" s="81"/>
      <c r="K101" s="81" t="s">
        <v>399</v>
      </c>
    </row>
    <row r="102" spans="4:11">
      <c r="D102" s="132" t="s">
        <v>177</v>
      </c>
      <c r="F102" s="81" t="s">
        <v>400</v>
      </c>
      <c r="G102" s="81" t="s">
        <v>401</v>
      </c>
      <c r="H102" s="81"/>
      <c r="I102" s="81" t="s">
        <v>402</v>
      </c>
      <c r="K102" s="81" t="s">
        <v>403</v>
      </c>
    </row>
    <row r="103" spans="4:11">
      <c r="D103" s="132" t="s">
        <v>177</v>
      </c>
      <c r="F103" s="81" t="s">
        <v>400</v>
      </c>
      <c r="G103" s="81" t="s">
        <v>404</v>
      </c>
      <c r="H103" s="81"/>
      <c r="I103" s="81" t="s">
        <v>402</v>
      </c>
      <c r="K103" s="81" t="s">
        <v>403</v>
      </c>
    </row>
    <row r="104" spans="4:11">
      <c r="D104" s="132" t="s">
        <v>177</v>
      </c>
      <c r="F104" s="81" t="s">
        <v>400</v>
      </c>
      <c r="G104" s="81" t="s">
        <v>405</v>
      </c>
      <c r="I104" s="81" t="s">
        <v>406</v>
      </c>
      <c r="K104" s="81" t="s">
        <v>403</v>
      </c>
    </row>
    <row r="105" spans="4:11">
      <c r="D105" s="132" t="s">
        <v>177</v>
      </c>
      <c r="F105" s="81" t="s">
        <v>407</v>
      </c>
      <c r="G105" s="81" t="s">
        <v>408</v>
      </c>
      <c r="H105" s="81"/>
      <c r="I105" s="81" t="s">
        <v>409</v>
      </c>
      <c r="K105" s="81" t="s">
        <v>410</v>
      </c>
    </row>
    <row r="106" spans="4:11">
      <c r="D106" s="132" t="s">
        <v>177</v>
      </c>
      <c r="F106" s="81" t="s">
        <v>397</v>
      </c>
      <c r="G106" s="81" t="s">
        <v>411</v>
      </c>
      <c r="H106" s="81"/>
      <c r="I106" s="81" t="s">
        <v>412</v>
      </c>
      <c r="K106" s="81" t="s">
        <v>413</v>
      </c>
    </row>
    <row r="107" spans="4:11">
      <c r="D107" s="132" t="s">
        <v>177</v>
      </c>
      <c r="F107" s="81" t="s">
        <v>397</v>
      </c>
      <c r="G107" s="81" t="s">
        <v>414</v>
      </c>
      <c r="H107" s="81"/>
      <c r="I107" s="81" t="s">
        <v>415</v>
      </c>
      <c r="K107" s="81" t="s">
        <v>413</v>
      </c>
    </row>
    <row r="108" spans="4:11">
      <c r="D108" s="132" t="s">
        <v>177</v>
      </c>
      <c r="F108" s="81" t="s">
        <v>416</v>
      </c>
      <c r="G108" s="81" t="s">
        <v>417</v>
      </c>
      <c r="H108" s="81"/>
      <c r="I108" s="81" t="s">
        <v>418</v>
      </c>
      <c r="K108" s="81" t="s">
        <v>419</v>
      </c>
    </row>
    <row r="109" spans="4:11">
      <c r="D109" s="132" t="s">
        <v>177</v>
      </c>
      <c r="F109" s="81" t="s">
        <v>420</v>
      </c>
      <c r="G109" s="81" t="s">
        <v>421</v>
      </c>
      <c r="H109" s="81"/>
      <c r="I109" s="81" t="s">
        <v>422</v>
      </c>
      <c r="K109" s="81" t="s">
        <v>423</v>
      </c>
    </row>
    <row r="110" spans="4:11">
      <c r="D110" s="132" t="s">
        <v>177</v>
      </c>
      <c r="F110" s="81" t="s">
        <v>424</v>
      </c>
      <c r="G110" s="81" t="s">
        <v>425</v>
      </c>
      <c r="H110" s="81"/>
      <c r="I110" s="81" t="s">
        <v>426</v>
      </c>
      <c r="K110" s="81" t="s">
        <v>427</v>
      </c>
    </row>
    <row r="111" spans="4:11">
      <c r="D111" s="132" t="s">
        <v>177</v>
      </c>
      <c r="F111" s="81" t="s">
        <v>428</v>
      </c>
      <c r="G111" s="81" t="s">
        <v>429</v>
      </c>
      <c r="H111" s="81"/>
      <c r="I111" s="81" t="s">
        <v>422</v>
      </c>
      <c r="K111" s="81" t="s">
        <v>430</v>
      </c>
    </row>
    <row r="112" spans="4:11">
      <c r="D112" s="132" t="s">
        <v>177</v>
      </c>
      <c r="F112" s="81" t="s">
        <v>431</v>
      </c>
      <c r="G112" s="81" t="s">
        <v>432</v>
      </c>
      <c r="H112" s="81"/>
      <c r="I112" s="81" t="s">
        <v>190</v>
      </c>
      <c r="K112" s="81" t="s">
        <v>433</v>
      </c>
    </row>
    <row r="113" spans="4:11">
      <c r="D113" s="132" t="s">
        <v>177</v>
      </c>
      <c r="F113" s="81" t="s">
        <v>434</v>
      </c>
      <c r="G113" s="81" t="s">
        <v>429</v>
      </c>
      <c r="H113" s="81"/>
      <c r="I113" s="132" t="s">
        <v>435</v>
      </c>
      <c r="K113" s="81" t="s">
        <v>430</v>
      </c>
    </row>
    <row r="114" spans="4:11">
      <c r="D114" s="132" t="s">
        <v>177</v>
      </c>
      <c r="F114" s="81" t="s">
        <v>436</v>
      </c>
      <c r="G114" s="81" t="s">
        <v>437</v>
      </c>
      <c r="H114" s="81"/>
      <c r="I114" s="81" t="s">
        <v>373</v>
      </c>
      <c r="K114" s="81" t="s">
        <v>438</v>
      </c>
    </row>
    <row r="115" spans="4:11">
      <c r="D115" s="132" t="s">
        <v>177</v>
      </c>
      <c r="F115" s="81" t="s">
        <v>439</v>
      </c>
      <c r="G115" s="81" t="s">
        <v>440</v>
      </c>
      <c r="H115" s="81"/>
      <c r="I115" s="81" t="s">
        <v>336</v>
      </c>
      <c r="K115" s="81" t="s">
        <v>441</v>
      </c>
    </row>
    <row r="116" spans="4:11">
      <c r="D116" s="132" t="s">
        <v>177</v>
      </c>
      <c r="F116" s="81" t="s">
        <v>442</v>
      </c>
      <c r="G116" s="81" t="s">
        <v>339</v>
      </c>
      <c r="H116" s="81"/>
      <c r="I116" s="132" t="s">
        <v>443</v>
      </c>
      <c r="K116" s="81" t="s">
        <v>444</v>
      </c>
    </row>
    <row r="117" spans="4:11">
      <c r="D117" s="132" t="s">
        <v>177</v>
      </c>
      <c r="F117" s="81" t="s">
        <v>445</v>
      </c>
      <c r="G117" s="81" t="s">
        <v>446</v>
      </c>
      <c r="H117" s="81"/>
      <c r="I117" s="81" t="s">
        <v>447</v>
      </c>
      <c r="K117" s="81" t="s">
        <v>448</v>
      </c>
    </row>
    <row r="118" spans="4:11">
      <c r="D118" s="132" t="s">
        <v>177</v>
      </c>
      <c r="F118" s="81" t="s">
        <v>449</v>
      </c>
      <c r="G118" s="81" t="s">
        <v>432</v>
      </c>
      <c r="H118" s="81"/>
      <c r="I118" s="81" t="s">
        <v>450</v>
      </c>
      <c r="K118" s="81" t="s">
        <v>451</v>
      </c>
    </row>
    <row r="119" spans="4:11">
      <c r="D119" s="132" t="s">
        <v>177</v>
      </c>
      <c r="F119" s="81" t="s">
        <v>452</v>
      </c>
      <c r="G119" s="81" t="s">
        <v>453</v>
      </c>
      <c r="H119" s="81"/>
      <c r="I119" s="81" t="s">
        <v>336</v>
      </c>
      <c r="K119" s="81" t="s">
        <v>454</v>
      </c>
    </row>
    <row r="120" spans="4:11">
      <c r="D120" s="132" t="s">
        <v>177</v>
      </c>
      <c r="F120" s="81" t="s">
        <v>431</v>
      </c>
      <c r="G120" s="81" t="s">
        <v>455</v>
      </c>
      <c r="I120" s="81" t="s">
        <v>456</v>
      </c>
      <c r="K120" s="81" t="s">
        <v>457</v>
      </c>
    </row>
    <row r="121" spans="4:11">
      <c r="F121" s="81"/>
    </row>
    <row r="122" spans="4:11">
      <c r="F122" s="81"/>
    </row>
    <row r="123" spans="4:11">
      <c r="F123" s="81"/>
    </row>
    <row r="124" spans="4:11">
      <c r="F124" s="81"/>
    </row>
    <row r="125" spans="4:11">
      <c r="F125" s="81"/>
    </row>
  </sheetData>
  <sortState xmlns:xlrd2="http://schemas.microsoft.com/office/spreadsheetml/2017/richdata2" ref="B2:L77">
    <sortCondition ref="D2:D77"/>
  </sortState>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312545-E952-4F9B-8F73-09DE7623C7D5}">
  <sheetPr codeName="工作表3"/>
  <dimension ref="A2:I53"/>
  <sheetViews>
    <sheetView topLeftCell="A9" workbookViewId="0">
      <selection activeCell="B37" sqref="B36:B37"/>
    </sheetView>
  </sheetViews>
  <sheetFormatPr defaultColWidth="8.75" defaultRowHeight="14.25"/>
  <cols>
    <col min="1" max="1" width="15" style="81" customWidth="1"/>
    <col min="2" max="2" width="14.125" style="81" customWidth="1"/>
    <col min="3" max="3" width="15.25" style="81" customWidth="1"/>
    <col min="4" max="4" width="8.75" style="127"/>
    <col min="5" max="16384" width="8.75" style="81"/>
  </cols>
  <sheetData>
    <row r="2" spans="1:9" ht="15.75">
      <c r="B2" s="81" t="s">
        <v>108</v>
      </c>
      <c r="C2" s="81" t="s">
        <v>82</v>
      </c>
      <c r="D2" s="127" t="s">
        <v>251</v>
      </c>
    </row>
    <row r="3" spans="1:9" ht="15.75">
      <c r="A3" s="126" t="s">
        <v>72</v>
      </c>
      <c r="B3" s="81" t="s">
        <v>107</v>
      </c>
      <c r="C3" s="81" t="s">
        <v>82</v>
      </c>
      <c r="D3" s="127" t="s">
        <v>34</v>
      </c>
    </row>
    <row r="4" spans="1:9" ht="15.6" customHeight="1">
      <c r="B4" s="81" t="s">
        <v>108</v>
      </c>
      <c r="D4" s="127" t="s">
        <v>104</v>
      </c>
    </row>
    <row r="5" spans="1:9" ht="15.6" customHeight="1"/>
    <row r="6" spans="1:9" ht="15.6" customHeight="1">
      <c r="B6" s="81" t="s">
        <v>108</v>
      </c>
      <c r="C6" s="81" t="s">
        <v>81</v>
      </c>
      <c r="D6" s="127" t="s">
        <v>106</v>
      </c>
    </row>
    <row r="7" spans="1:9" ht="15.6" customHeight="1">
      <c r="D7" s="127" t="s">
        <v>109</v>
      </c>
    </row>
    <row r="9" spans="1:9" ht="15">
      <c r="A9" s="126"/>
    </row>
    <row r="12" spans="1:9" ht="15">
      <c r="A12" s="126" t="s">
        <v>78</v>
      </c>
      <c r="C12" s="81" t="s">
        <v>82</v>
      </c>
      <c r="D12" s="127" t="s">
        <v>77</v>
      </c>
    </row>
    <row r="13" spans="1:9" ht="15">
      <c r="A13" s="126" t="s">
        <v>78</v>
      </c>
      <c r="C13" s="81" t="s">
        <v>44</v>
      </c>
      <c r="D13" s="127" t="s">
        <v>79</v>
      </c>
    </row>
    <row r="14" spans="1:9" ht="15">
      <c r="A14" s="126"/>
      <c r="B14" s="126"/>
      <c r="C14" s="126"/>
      <c r="D14" s="128" t="s">
        <v>474</v>
      </c>
      <c r="E14" s="126"/>
    </row>
    <row r="15" spans="1:9" ht="15">
      <c r="F15" s="126"/>
      <c r="G15" s="126"/>
      <c r="H15" s="126"/>
      <c r="I15" s="126"/>
    </row>
    <row r="16" spans="1:9" ht="15">
      <c r="E16" s="126"/>
      <c r="F16" s="126"/>
      <c r="G16" s="126"/>
      <c r="H16" s="126"/>
      <c r="I16" s="126"/>
    </row>
    <row r="17" spans="1:9" ht="15">
      <c r="E17" s="126"/>
      <c r="F17" s="126"/>
      <c r="G17" s="126"/>
      <c r="H17" s="126"/>
      <c r="I17" s="126"/>
    </row>
    <row r="18" spans="1:9" ht="15">
      <c r="A18" s="126"/>
      <c r="B18" s="126"/>
      <c r="C18" s="126"/>
      <c r="D18" s="128"/>
      <c r="E18" s="126"/>
      <c r="F18" s="126"/>
      <c r="G18" s="126"/>
      <c r="H18" s="126"/>
      <c r="I18" s="126"/>
    </row>
    <row r="20" spans="1:9" ht="15.75">
      <c r="A20" s="126" t="s">
        <v>86</v>
      </c>
      <c r="B20" s="81" t="s">
        <v>97</v>
      </c>
    </row>
    <row r="21" spans="1:9" ht="15">
      <c r="A21" s="126" t="s">
        <v>86</v>
      </c>
      <c r="B21" s="81" t="s">
        <v>76</v>
      </c>
      <c r="C21" s="81" t="s">
        <v>82</v>
      </c>
      <c r="D21" s="127" t="s">
        <v>92</v>
      </c>
    </row>
    <row r="22" spans="1:9" ht="15">
      <c r="A22" s="126" t="s">
        <v>86</v>
      </c>
      <c r="B22" s="81" t="s">
        <v>76</v>
      </c>
      <c r="C22" s="81" t="s">
        <v>44</v>
      </c>
      <c r="D22" s="127" t="s">
        <v>74</v>
      </c>
    </row>
    <row r="23" spans="1:9" ht="15">
      <c r="A23" s="126" t="s">
        <v>86</v>
      </c>
      <c r="B23" s="81" t="s">
        <v>75</v>
      </c>
      <c r="D23" s="127" t="s">
        <v>93</v>
      </c>
    </row>
    <row r="24" spans="1:9" ht="15">
      <c r="A24" s="126" t="s">
        <v>86</v>
      </c>
    </row>
    <row r="25" spans="1:9" ht="15.75">
      <c r="A25" s="126" t="s">
        <v>86</v>
      </c>
      <c r="B25" s="81" t="s">
        <v>98</v>
      </c>
    </row>
    <row r="26" spans="1:9" ht="15">
      <c r="A26" s="126" t="s">
        <v>86</v>
      </c>
      <c r="B26" s="81" t="s">
        <v>76</v>
      </c>
      <c r="C26" s="81" t="s">
        <v>81</v>
      </c>
      <c r="D26" s="127" t="s">
        <v>94</v>
      </c>
    </row>
    <row r="27" spans="1:9" ht="15">
      <c r="A27" s="126" t="s">
        <v>86</v>
      </c>
      <c r="B27" s="81" t="s">
        <v>76</v>
      </c>
      <c r="C27" s="81" t="s">
        <v>82</v>
      </c>
      <c r="D27" s="127" t="s">
        <v>80</v>
      </c>
    </row>
    <row r="28" spans="1:9" ht="15">
      <c r="A28" s="126" t="s">
        <v>86</v>
      </c>
      <c r="B28" s="81" t="s">
        <v>76</v>
      </c>
      <c r="C28" s="81" t="s">
        <v>82</v>
      </c>
      <c r="D28" s="127" t="s">
        <v>83</v>
      </c>
    </row>
    <row r="29" spans="1:9" ht="15">
      <c r="A29" s="126" t="s">
        <v>86</v>
      </c>
      <c r="B29" s="81" t="s">
        <v>76</v>
      </c>
      <c r="C29" s="81" t="s">
        <v>82</v>
      </c>
      <c r="D29" s="127" t="s">
        <v>84</v>
      </c>
    </row>
    <row r="30" spans="1:9" ht="15">
      <c r="A30" s="126" t="s">
        <v>86</v>
      </c>
    </row>
    <row r="31" spans="1:9" ht="15.75">
      <c r="A31" s="126" t="s">
        <v>86</v>
      </c>
      <c r="B31" s="81" t="s">
        <v>99</v>
      </c>
    </row>
    <row r="32" spans="1:9" ht="15">
      <c r="A32" s="126" t="s">
        <v>86</v>
      </c>
      <c r="B32" s="81" t="s">
        <v>76</v>
      </c>
      <c r="C32" s="81" t="s">
        <v>44</v>
      </c>
      <c r="D32" s="127" t="s">
        <v>95</v>
      </c>
    </row>
    <row r="33" spans="1:5" ht="15">
      <c r="A33" s="126" t="s">
        <v>86</v>
      </c>
      <c r="B33" s="81" t="s">
        <v>76</v>
      </c>
      <c r="C33" s="81" t="s">
        <v>82</v>
      </c>
      <c r="D33" s="127" t="s">
        <v>96</v>
      </c>
    </row>
    <row r="36" spans="1:5" ht="15">
      <c r="A36" s="201" t="s">
        <v>475</v>
      </c>
      <c r="B36" s="203"/>
      <c r="D36" s="203" t="s">
        <v>476</v>
      </c>
    </row>
    <row r="37" spans="1:5" ht="15">
      <c r="A37" s="202" t="s">
        <v>477</v>
      </c>
      <c r="B37" s="130"/>
      <c r="D37" s="130" t="s">
        <v>478</v>
      </c>
    </row>
    <row r="48" spans="1:5" ht="15">
      <c r="A48" s="126" t="s">
        <v>102</v>
      </c>
      <c r="B48" s="126"/>
      <c r="C48" s="126"/>
      <c r="D48" s="129" t="s">
        <v>103</v>
      </c>
      <c r="E48" s="126"/>
    </row>
    <row r="51" spans="1:4" ht="15">
      <c r="A51" s="126" t="s">
        <v>102</v>
      </c>
      <c r="D51" s="127" t="s">
        <v>468</v>
      </c>
    </row>
    <row r="52" spans="1:4">
      <c r="D52" s="127" t="s">
        <v>467</v>
      </c>
    </row>
    <row r="53" spans="1:4">
      <c r="D53" s="81" t="s">
        <v>469</v>
      </c>
    </row>
  </sheetData>
  <phoneticPr fontId="2"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BCD92-4D4B-473E-959C-338E04BD0642}">
  <sheetPr codeName="工作表5"/>
  <dimension ref="A1:Z185"/>
  <sheetViews>
    <sheetView tabSelected="1" view="pageBreakPreview" topLeftCell="A7" zoomScale="130" zoomScaleNormal="100" zoomScaleSheetLayoutView="130" workbookViewId="0">
      <selection activeCell="E13" sqref="E13"/>
    </sheetView>
  </sheetViews>
  <sheetFormatPr defaultColWidth="8.75" defaultRowHeight="12" customHeight="1"/>
  <cols>
    <col min="1" max="4" width="3.625" style="150" customWidth="1"/>
    <col min="5" max="5" width="25" style="150" bestFit="1" customWidth="1"/>
    <col min="6" max="10" width="3.625" style="150" customWidth="1"/>
    <col min="11" max="11" width="11" style="150" bestFit="1" customWidth="1"/>
    <col min="12" max="13" width="3.625" style="150" customWidth="1"/>
    <col min="14" max="14" width="10.5" style="150" bestFit="1" customWidth="1"/>
    <col min="15" max="16" width="3.625" style="150" customWidth="1"/>
    <col min="17" max="17" width="13" style="150" bestFit="1" customWidth="1"/>
    <col min="18" max="19" width="3.625" style="150" customWidth="1"/>
    <col min="20" max="20" width="8.25" style="150" bestFit="1" customWidth="1"/>
    <col min="21" max="24" width="3.625" style="150" customWidth="1"/>
    <col min="25" max="25" width="8.75" style="150"/>
    <col min="26" max="26" width="18.25" style="150" customWidth="1"/>
    <col min="27" max="16384" width="8.75" style="150"/>
  </cols>
  <sheetData>
    <row r="1" spans="1:26" ht="14.1" customHeight="1">
      <c r="A1" s="367"/>
      <c r="B1" s="367"/>
      <c r="C1" s="367"/>
      <c r="D1" s="367"/>
      <c r="E1" s="367"/>
      <c r="F1" s="367"/>
      <c r="G1" s="367"/>
      <c r="H1" s="367"/>
      <c r="I1" s="367"/>
      <c r="J1" s="367"/>
      <c r="K1" s="367"/>
      <c r="L1" s="367"/>
      <c r="M1" s="367"/>
      <c r="N1" s="367"/>
      <c r="O1" s="367"/>
      <c r="P1" s="367"/>
      <c r="Q1" s="367"/>
      <c r="R1" s="367"/>
      <c r="S1" s="367"/>
      <c r="T1" s="367"/>
      <c r="U1" s="367"/>
      <c r="V1" s="367"/>
      <c r="W1" s="367"/>
      <c r="X1" s="367"/>
    </row>
    <row r="2" spans="1:26" ht="14.1" customHeight="1">
      <c r="A2" s="367" t="s">
        <v>258</v>
      </c>
      <c r="B2" s="367"/>
      <c r="C2" s="367"/>
      <c r="D2" s="367"/>
      <c r="E2" s="367"/>
      <c r="F2" s="367"/>
      <c r="G2" s="367"/>
      <c r="H2" s="367"/>
      <c r="I2" s="367"/>
      <c r="J2" s="366" t="str">
        <f>"Messrs. "&amp;_xlfn.XLOOKUP(裝船表格!E10,裝船表格!AK1:AK6,裝船表格!AL1:AL6,"",0,1)</f>
        <v>Messrs. Yieh United Steel Corporation</v>
      </c>
      <c r="K2" s="366"/>
      <c r="L2" s="366"/>
      <c r="M2" s="366"/>
      <c r="N2" s="366"/>
      <c r="O2" s="366"/>
      <c r="P2" s="366"/>
      <c r="Q2" s="366"/>
      <c r="R2" s="366"/>
      <c r="S2" s="366"/>
      <c r="T2" s="366"/>
      <c r="U2" s="366"/>
      <c r="V2" s="366"/>
      <c r="W2" s="366"/>
      <c r="X2" s="366"/>
    </row>
    <row r="3" spans="1:26" ht="14.1" customHeight="1">
      <c r="A3" s="150" t="str">
        <f>裝船表格!A7&amp;裝船表格!E7</f>
        <v>W.O. No. MIN-24301117</v>
      </c>
    </row>
    <row r="4" spans="1:26" ht="14.1" customHeight="1">
      <c r="Z4" s="162">
        <f>裝船表格!E7</f>
        <v>24301117</v>
      </c>
    </row>
    <row r="5" spans="1:26" ht="18" customHeight="1">
      <c r="A5" s="377" t="s">
        <v>259</v>
      </c>
      <c r="B5" s="377"/>
      <c r="C5" s="377"/>
      <c r="D5" s="377"/>
      <c r="E5" s="377"/>
      <c r="F5" s="377"/>
      <c r="G5" s="377"/>
      <c r="H5" s="377"/>
      <c r="I5" s="377"/>
      <c r="J5" s="377"/>
      <c r="K5" s="377"/>
      <c r="L5" s="377"/>
      <c r="M5" s="377"/>
      <c r="N5" s="377"/>
      <c r="O5" s="377"/>
      <c r="P5" s="377"/>
      <c r="Q5" s="377"/>
      <c r="R5" s="377"/>
      <c r="S5" s="377"/>
      <c r="T5" s="377"/>
      <c r="U5" s="377"/>
      <c r="V5" s="377"/>
      <c r="W5" s="377"/>
      <c r="X5" s="377"/>
      <c r="Z5" s="162" t="s">
        <v>546</v>
      </c>
    </row>
    <row r="6" spans="1:26" ht="14.1" customHeight="1">
      <c r="Z6" s="205">
        <v>45371</v>
      </c>
    </row>
    <row r="7" spans="1:26" ht="46.5" customHeight="1">
      <c r="A7" s="364" t="str">
        <f>裝船表格!AB8</f>
        <v xml:space="preserve">In accordance with the instructions received, we attended on April 03, 2024, alongside M/V "XXXXXXX" V-1234 whilst berthed at Wharf No. 35, port of Kaohsiung, for the purpose of conducting the loading survey of the below consignment, and we report as follows :- </v>
      </c>
      <c r="B7" s="364"/>
      <c r="C7" s="364"/>
      <c r="D7" s="364"/>
      <c r="E7" s="364"/>
      <c r="F7" s="364"/>
      <c r="G7" s="364"/>
      <c r="H7" s="364"/>
      <c r="I7" s="364"/>
      <c r="J7" s="364"/>
      <c r="K7" s="364"/>
      <c r="L7" s="364"/>
      <c r="M7" s="364"/>
      <c r="N7" s="364"/>
      <c r="O7" s="364"/>
      <c r="P7" s="364"/>
      <c r="Q7" s="364"/>
      <c r="R7" s="364"/>
      <c r="S7" s="364"/>
      <c r="T7" s="364"/>
      <c r="U7" s="364"/>
      <c r="V7" s="364"/>
      <c r="W7" s="364"/>
      <c r="X7" s="364"/>
    </row>
    <row r="8" spans="1:26" ht="14.1" customHeight="1">
      <c r="A8" s="367"/>
      <c r="B8" s="367"/>
      <c r="C8" s="367"/>
      <c r="D8" s="367"/>
      <c r="E8" s="367"/>
      <c r="F8" s="367"/>
      <c r="G8" s="367"/>
      <c r="H8" s="367"/>
      <c r="I8" s="367"/>
      <c r="J8" s="367"/>
      <c r="K8" s="367"/>
      <c r="L8" s="367"/>
      <c r="M8" s="367"/>
      <c r="N8" s="367"/>
      <c r="O8" s="367"/>
      <c r="P8" s="367"/>
      <c r="Q8" s="367"/>
      <c r="R8" s="367"/>
      <c r="S8" s="367"/>
      <c r="T8" s="367"/>
      <c r="U8" s="367"/>
      <c r="V8" s="367"/>
      <c r="W8" s="367"/>
      <c r="X8" s="367"/>
    </row>
    <row r="9" spans="1:26" ht="14.1" customHeight="1">
      <c r="A9" s="381" t="s">
        <v>753</v>
      </c>
      <c r="B9" s="381"/>
      <c r="C9" s="381"/>
      <c r="D9" s="381"/>
      <c r="E9" s="380" t="str">
        <f>裝船表格!AB6</f>
        <v xml:space="preserve">1,003.552 MT(Net Weight), 1,007.104 MT(Gross Weight), 136 coils, comprising of </v>
      </c>
      <c r="F9" s="380"/>
      <c r="G9" s="380"/>
      <c r="H9" s="380"/>
      <c r="I9" s="380"/>
      <c r="J9" s="380"/>
      <c r="K9" s="380"/>
      <c r="L9" s="380"/>
      <c r="M9" s="380"/>
      <c r="N9" s="380"/>
      <c r="O9" s="380"/>
      <c r="P9" s="380"/>
      <c r="Q9" s="380"/>
      <c r="R9" s="380"/>
      <c r="S9" s="380"/>
      <c r="T9" s="380"/>
      <c r="U9" s="380"/>
      <c r="V9" s="380"/>
      <c r="W9" s="380"/>
      <c r="X9" s="380"/>
    </row>
    <row r="10" spans="1:26" ht="14.1" customHeight="1">
      <c r="A10" s="381" t="s">
        <v>754</v>
      </c>
      <c r="B10" s="381"/>
      <c r="C10" s="381"/>
      <c r="D10" s="381"/>
      <c r="E10" s="380" t="str">
        <f>裝船表格!E16</f>
        <v>STAINLESS STEEL HOT ROLLED COILS, DIN EN 10088-4 1.4301/1.4307, NO.1 FINISH MILL EDGE</v>
      </c>
      <c r="F10" s="380"/>
      <c r="G10" s="380"/>
      <c r="H10" s="380"/>
      <c r="I10" s="380"/>
      <c r="J10" s="380"/>
      <c r="K10" s="380"/>
      <c r="L10" s="380"/>
      <c r="M10" s="380"/>
      <c r="N10" s="380"/>
      <c r="O10" s="380"/>
      <c r="P10" s="380"/>
      <c r="Q10" s="380"/>
      <c r="R10" s="380"/>
      <c r="S10" s="380"/>
      <c r="T10" s="380"/>
      <c r="U10" s="380"/>
      <c r="V10" s="380"/>
      <c r="W10" s="380"/>
      <c r="X10" s="380"/>
    </row>
    <row r="11" spans="1:26" ht="14.1" customHeight="1">
      <c r="A11" s="379" t="s">
        <v>69</v>
      </c>
      <c r="B11" s="379"/>
      <c r="C11" s="379"/>
      <c r="D11" s="379"/>
      <c r="E11" s="423"/>
      <c r="F11" s="423"/>
      <c r="G11" s="423"/>
      <c r="H11" s="423"/>
      <c r="I11" s="423"/>
      <c r="J11" s="423"/>
      <c r="K11" s="423"/>
      <c r="L11" s="423"/>
      <c r="M11" s="423"/>
      <c r="N11" s="423"/>
      <c r="O11" s="423"/>
      <c r="P11" s="423"/>
      <c r="Q11" s="423"/>
      <c r="R11" s="423"/>
      <c r="S11" s="423"/>
      <c r="T11" s="423"/>
      <c r="U11" s="423"/>
      <c r="V11" s="423"/>
      <c r="W11" s="423"/>
      <c r="X11" s="423"/>
    </row>
    <row r="12" spans="1:26" s="151" customFormat="1" ht="14.1" customHeight="1">
      <c r="E12" s="378"/>
      <c r="F12" s="378"/>
      <c r="G12" s="378"/>
      <c r="H12" s="378"/>
      <c r="I12" s="378"/>
      <c r="J12" s="378"/>
      <c r="K12" s="378"/>
      <c r="L12" s="378"/>
      <c r="M12" s="378"/>
      <c r="N12" s="378"/>
      <c r="O12" s="378"/>
      <c r="P12" s="378"/>
      <c r="Q12" s="378"/>
      <c r="R12" s="378"/>
      <c r="S12" s="378"/>
      <c r="T12" s="378"/>
      <c r="U12" s="378"/>
      <c r="V12" s="378"/>
      <c r="W12" s="378"/>
      <c r="X12" s="378"/>
    </row>
    <row r="13" spans="1:26" s="151" customFormat="1" ht="14.1" customHeight="1">
      <c r="E13" s="155" t="str">
        <f>IF(裝船表格!A37="","",裝船表格!A37)</f>
        <v>Invoice No.</v>
      </c>
      <c r="F13" s="155" t="str">
        <f>IF(裝船表格!B37="","",裝船表格!B37)</f>
        <v/>
      </c>
      <c r="G13" s="155" t="str">
        <f>IF(裝船表格!C37="","",裝船表格!C37)</f>
        <v/>
      </c>
      <c r="H13" s="155" t="str">
        <f>IF(裝船表格!D37="","",裝船表格!D37)</f>
        <v>S/O No.</v>
      </c>
      <c r="I13" s="155" t="str">
        <f>IF(裝船表格!E37="","",裝船表格!E37)</f>
        <v/>
      </c>
      <c r="J13" s="155" t="str">
        <f>IF(裝船表格!F37="","",裝船表格!F37)</f>
        <v/>
      </c>
      <c r="K13" s="155" t="str">
        <f>IF(裝船表格!G37="","",裝船表格!G37)</f>
        <v>Lot / Colour</v>
      </c>
      <c r="L13" s="155" t="str">
        <f>IF(裝船表格!H37="","",裝船表格!H37)</f>
        <v/>
      </c>
      <c r="M13" s="155" t="str">
        <f>IF(裝船表格!I37="","",裝船表格!I37)</f>
        <v/>
      </c>
      <c r="N13" s="155" t="str">
        <f>IF(裝船表格!J37="","",裝船表格!J37)</f>
        <v>Net Weight</v>
      </c>
      <c r="O13" s="155" t="str">
        <f>IF(裝船表格!K37="","",裝船表格!K37)</f>
        <v/>
      </c>
      <c r="P13" s="155" t="str">
        <f>IF(裝船表格!L37="","",裝船表格!L37)</f>
        <v/>
      </c>
      <c r="Q13" s="155" t="str">
        <f>IF(裝船表格!M37="","",裝船表格!M37)</f>
        <v>Gross Weight</v>
      </c>
      <c r="R13" s="155" t="str">
        <f>IF(裝船表格!N37="","",裝船表格!N37)</f>
        <v/>
      </c>
      <c r="S13" s="155" t="str">
        <f>IF(裝船表格!O37="","",裝船表格!O37)</f>
        <v/>
      </c>
      <c r="T13" s="155" t="str">
        <f>IF(裝船表格!P37="","",裝船表格!P37)</f>
        <v>Quantity</v>
      </c>
      <c r="U13" s="155" t="str">
        <f>IF(裝船表格!Q37="","",裝船表格!Q37)</f>
        <v/>
      </c>
      <c r="V13" s="155" t="str">
        <f>IF(裝船表格!R37="","",裝船表格!R37)</f>
        <v/>
      </c>
      <c r="W13" s="155" t="str">
        <f>IF(裝船表格!R37="","",裝船表格!R37)</f>
        <v/>
      </c>
      <c r="X13" s="155" t="str">
        <f>IF(裝船表格!S37="","",裝船表格!S37)</f>
        <v/>
      </c>
    </row>
    <row r="14" spans="1:26" s="151" customFormat="1" ht="14.1" customHeight="1">
      <c r="E14" s="155" t="str">
        <f>IF(裝船表格!A38="","",裝船表格!A38)</f>
        <v>PPG112545</v>
      </c>
      <c r="F14" s="155"/>
      <c r="G14" s="155"/>
      <c r="H14" s="155" t="str">
        <f>IF(裝船表格!D38="","",裝船表格!D38)</f>
        <v>1000</v>
      </c>
      <c r="I14" s="155"/>
      <c r="J14" s="155"/>
      <c r="K14" s="155" t="str">
        <f>IF(裝船表格!G38="","",裝船表格!G38)</f>
        <v>Blue</v>
      </c>
      <c r="L14" s="155"/>
      <c r="M14" s="155"/>
      <c r="N14" s="155">
        <f>IF(裝船表格!J38="","",裝船表格!J38)</f>
        <v>55.222000000000001</v>
      </c>
      <c r="O14" s="155"/>
      <c r="P14" s="155" t="str">
        <f>IF(裝船表格!L38="","",裝船表格!L38)</f>
        <v>MT</v>
      </c>
      <c r="Q14" s="155">
        <f>IF(裝船表格!M38="","",裝船表格!M38)</f>
        <v>55.444000000000003</v>
      </c>
      <c r="R14" s="155"/>
      <c r="S14" s="155" t="str">
        <f>IF(裝船表格!O38="","",裝船表格!O38)</f>
        <v>MT</v>
      </c>
      <c r="T14" s="155">
        <f>IF(裝船表格!P38="","",裝船表格!P38)</f>
        <v>1</v>
      </c>
      <c r="U14" s="155" t="str">
        <f>IF(裝船表格!Q38="","",裝船表格!Q38)</f>
        <v>coil</v>
      </c>
      <c r="V14" s="155" t="str">
        <f>IF(裝船表格!R38="","",裝船表格!R38)</f>
        <v/>
      </c>
      <c r="W14" s="155" t="str">
        <f>IF(裝船表格!S38="","",裝船表格!S38)</f>
        <v/>
      </c>
      <c r="X14" s="155" t="str">
        <f>IF(裝船表格!T38="","",裝船表格!T38)</f>
        <v/>
      </c>
    </row>
    <row r="15" spans="1:26" s="151" customFormat="1" ht="14.1" customHeight="1">
      <c r="E15" s="155" t="str">
        <f>IF(裝船表格!A39="","",裝船表格!A39)</f>
        <v>PPG112546</v>
      </c>
      <c r="F15" s="155"/>
      <c r="G15" s="155"/>
      <c r="H15" s="155" t="str">
        <f>IF(裝船表格!D39="","",裝船表格!D39)</f>
        <v>1001</v>
      </c>
      <c r="I15" s="155"/>
      <c r="J15" s="155"/>
      <c r="K15" s="155" t="str">
        <f>IF(裝船表格!G39="","",裝船表格!G39)</f>
        <v>Blue</v>
      </c>
      <c r="L15" s="155"/>
      <c r="M15" s="155"/>
      <c r="N15" s="155">
        <f>IF(裝船表格!J39="","",裝船表格!J39)</f>
        <v>56.222000000000001</v>
      </c>
      <c r="O15" s="155"/>
      <c r="P15" s="155" t="str">
        <f>IF(裝船表格!L39="","",裝船表格!L39)</f>
        <v>MT</v>
      </c>
      <c r="Q15" s="155">
        <f>IF(裝船表格!M39="","",裝船表格!M39)</f>
        <v>56.444000000000003</v>
      </c>
      <c r="R15" s="155"/>
      <c r="S15" s="155" t="str">
        <f>IF(裝船表格!O39="","",裝船表格!O39)</f>
        <v>MT</v>
      </c>
      <c r="T15" s="155">
        <f>IF(裝船表格!P39="","",裝船表格!P39)</f>
        <v>2</v>
      </c>
      <c r="U15" s="155" t="str">
        <f>IF(裝船表格!Q39="","",裝船表格!Q39)</f>
        <v>coils</v>
      </c>
      <c r="V15" s="155"/>
      <c r="W15" s="155"/>
      <c r="X15" s="155"/>
    </row>
    <row r="16" spans="1:26" s="151" customFormat="1" ht="14.1" customHeight="1">
      <c r="E16" s="155" t="str">
        <f>IF(裝船表格!A40="","",裝船表格!A40)</f>
        <v>PPG112547</v>
      </c>
      <c r="F16" s="155"/>
      <c r="G16" s="155"/>
      <c r="H16" s="155" t="str">
        <f>IF(裝船表格!D40="","",裝船表格!D40)</f>
        <v>1002</v>
      </c>
      <c r="I16" s="155"/>
      <c r="J16" s="155"/>
      <c r="K16" s="155" t="str">
        <f>IF(裝船表格!G40="","",裝船表格!G40)</f>
        <v>Blue</v>
      </c>
      <c r="L16" s="155"/>
      <c r="M16" s="155"/>
      <c r="N16" s="155">
        <f>IF(裝船表格!J40="","",裝船表格!J40)</f>
        <v>57.222000000000001</v>
      </c>
      <c r="O16" s="155"/>
      <c r="P16" s="155" t="str">
        <f>IF(裝船表格!L40="","",裝船表格!L40)</f>
        <v>MT</v>
      </c>
      <c r="Q16" s="155">
        <f>IF(裝船表格!M40="","",裝船表格!M40)</f>
        <v>57.444000000000003</v>
      </c>
      <c r="R16" s="155"/>
      <c r="S16" s="155" t="str">
        <f>IF(裝船表格!O40="","",裝船表格!O40)</f>
        <v>MT</v>
      </c>
      <c r="T16" s="155">
        <f>IF(裝船表格!P40="","",裝船表格!P40)</f>
        <v>3</v>
      </c>
      <c r="U16" s="155" t="str">
        <f>IF(裝船表格!Q40="","",裝船表格!Q40)</f>
        <v>coils</v>
      </c>
      <c r="V16" s="155"/>
      <c r="W16" s="155"/>
      <c r="X16" s="155"/>
    </row>
    <row r="17" spans="1:24" s="151" customFormat="1" ht="14.1" customHeight="1">
      <c r="E17" s="155" t="str">
        <f>IF(裝船表格!A41="","",裝船表格!A41)</f>
        <v>PPG112548</v>
      </c>
      <c r="F17" s="155"/>
      <c r="G17" s="155"/>
      <c r="H17" s="155" t="str">
        <f>IF(裝船表格!D41="","",裝船表格!D41)</f>
        <v>1003</v>
      </c>
      <c r="I17" s="155"/>
      <c r="J17" s="155"/>
      <c r="K17" s="155" t="str">
        <f>IF(裝船表格!G41="","",裝船表格!G41)</f>
        <v>Blue</v>
      </c>
      <c r="L17" s="155"/>
      <c r="M17" s="155"/>
      <c r="N17" s="155">
        <f>IF(裝船表格!J41="","",裝船表格!J41)</f>
        <v>58.222000000000001</v>
      </c>
      <c r="O17" s="155"/>
      <c r="P17" s="155" t="str">
        <f>IF(裝船表格!L41="","",裝船表格!L41)</f>
        <v>MT</v>
      </c>
      <c r="Q17" s="155">
        <f>IF(裝船表格!M41="","",裝船表格!M41)</f>
        <v>58.444000000000003</v>
      </c>
      <c r="R17" s="155"/>
      <c r="S17" s="155" t="str">
        <f>IF(裝船表格!O41="","",裝船表格!O41)</f>
        <v>MT</v>
      </c>
      <c r="T17" s="155">
        <f>IF(裝船表格!P41="","",裝船表格!P41)</f>
        <v>4</v>
      </c>
      <c r="U17" s="155" t="str">
        <f>IF(裝船表格!Q41="","",裝船表格!Q41)</f>
        <v>coils</v>
      </c>
      <c r="V17" s="155"/>
      <c r="W17" s="155"/>
      <c r="X17" s="155"/>
    </row>
    <row r="18" spans="1:24" s="151" customFormat="1" ht="14.1" customHeight="1">
      <c r="E18" s="155" t="str">
        <f>IF(裝船表格!A42="","",裝船表格!A42)</f>
        <v>PPG112549</v>
      </c>
      <c r="F18" s="155"/>
      <c r="G18" s="155"/>
      <c r="H18" s="155" t="str">
        <f>IF(裝船表格!D42="","",裝船表格!D42)</f>
        <v>1004</v>
      </c>
      <c r="I18" s="155"/>
      <c r="J18" s="155"/>
      <c r="K18" s="155" t="str">
        <f>IF(裝船表格!G42="","",裝船表格!G42)</f>
        <v>Blue</v>
      </c>
      <c r="L18" s="155"/>
      <c r="M18" s="155"/>
      <c r="N18" s="155">
        <f>IF(裝船表格!J42="","",裝船表格!J42)</f>
        <v>59.222000000000001</v>
      </c>
      <c r="O18" s="155"/>
      <c r="P18" s="155" t="str">
        <f>IF(裝船表格!L42="","",裝船表格!L42)</f>
        <v>MT</v>
      </c>
      <c r="Q18" s="155">
        <f>IF(裝船表格!M42="","",裝船表格!M42)</f>
        <v>59.444000000000003</v>
      </c>
      <c r="R18" s="155"/>
      <c r="S18" s="155" t="str">
        <f>IF(裝船表格!O42="","",裝船表格!O42)</f>
        <v>MT</v>
      </c>
      <c r="T18" s="155">
        <f>IF(裝船表格!P42="","",裝船表格!P42)</f>
        <v>5</v>
      </c>
      <c r="U18" s="155" t="str">
        <f>IF(裝船表格!Q42="","",裝船表格!Q42)</f>
        <v>coils</v>
      </c>
      <c r="V18" s="155"/>
      <c r="W18" s="155"/>
      <c r="X18" s="155"/>
    </row>
    <row r="19" spans="1:24" s="151" customFormat="1" ht="14.1" customHeight="1">
      <c r="E19" s="155" t="str">
        <f>IF(裝船表格!A43="","",裝船表格!A43)</f>
        <v>PPG112550</v>
      </c>
      <c r="F19" s="155"/>
      <c r="G19" s="155"/>
      <c r="H19" s="155" t="str">
        <f>IF(裝船表格!D43="","",裝船表格!D43)</f>
        <v>1005</v>
      </c>
      <c r="I19" s="155"/>
      <c r="J19" s="155"/>
      <c r="K19" s="155" t="str">
        <f>IF(裝船表格!G43="","",裝船表格!G43)</f>
        <v>Blue</v>
      </c>
      <c r="L19" s="155"/>
      <c r="M19" s="155"/>
      <c r="N19" s="155">
        <f>IF(裝船表格!J43="","",裝船表格!J43)</f>
        <v>60.222000000000001</v>
      </c>
      <c r="O19" s="155"/>
      <c r="P19" s="155" t="str">
        <f>IF(裝船表格!L43="","",裝船表格!L43)</f>
        <v>MT</v>
      </c>
      <c r="Q19" s="155">
        <f>IF(裝船表格!M43="","",裝船表格!M43)</f>
        <v>60.444000000000003</v>
      </c>
      <c r="R19" s="155"/>
      <c r="S19" s="155" t="str">
        <f>IF(裝船表格!O43="","",裝船表格!O43)</f>
        <v>MT</v>
      </c>
      <c r="T19" s="155">
        <f>IF(裝船表格!P43="","",裝船表格!P43)</f>
        <v>6</v>
      </c>
      <c r="U19" s="155" t="str">
        <f>IF(裝船表格!Q43="","",裝船表格!Q43)</f>
        <v>coils</v>
      </c>
      <c r="V19" s="155"/>
      <c r="W19" s="155"/>
      <c r="X19" s="155"/>
    </row>
    <row r="20" spans="1:24" s="151" customFormat="1" ht="14.1" customHeight="1">
      <c r="E20" s="155" t="str">
        <f>IF(裝船表格!A44="","",裝船表格!A44)</f>
        <v>PPG112551</v>
      </c>
      <c r="F20" s="155"/>
      <c r="G20" s="155"/>
      <c r="H20" s="155" t="str">
        <f>IF(裝船表格!D44="","",裝船表格!D44)</f>
        <v>1006</v>
      </c>
      <c r="I20" s="155"/>
      <c r="J20" s="155"/>
      <c r="K20" s="155" t="str">
        <f>IF(裝船表格!G44="","",裝船表格!G44)</f>
        <v>Blue</v>
      </c>
      <c r="L20" s="155"/>
      <c r="M20" s="155"/>
      <c r="N20" s="155">
        <f>IF(裝船表格!J44="","",裝船表格!J44)</f>
        <v>61.222000000000001</v>
      </c>
      <c r="O20" s="155"/>
      <c r="P20" s="155" t="str">
        <f>IF(裝船表格!L44="","",裝船表格!L44)</f>
        <v>MT</v>
      </c>
      <c r="Q20" s="155">
        <f>IF(裝船表格!M44="","",裝船表格!M44)</f>
        <v>61.444000000000003</v>
      </c>
      <c r="R20" s="155"/>
      <c r="S20" s="155" t="str">
        <f>IF(裝船表格!O44="","",裝船表格!O44)</f>
        <v>MT</v>
      </c>
      <c r="T20" s="155">
        <f>IF(裝船表格!P44="","",裝船表格!P44)</f>
        <v>7</v>
      </c>
      <c r="U20" s="155" t="str">
        <f>IF(裝船表格!Q44="","",裝船表格!Q44)</f>
        <v>coils</v>
      </c>
      <c r="V20" s="155"/>
      <c r="W20" s="155"/>
      <c r="X20" s="155"/>
    </row>
    <row r="21" spans="1:24" s="151" customFormat="1" ht="14.1" customHeight="1">
      <c r="E21" s="155" t="str">
        <f>IF(裝船表格!A45="","",裝船表格!A45)</f>
        <v>PPG112552</v>
      </c>
      <c r="F21" s="155"/>
      <c r="G21" s="155"/>
      <c r="H21" s="155" t="str">
        <f>IF(裝船表格!D45="","",裝船表格!D45)</f>
        <v>1007</v>
      </c>
      <c r="I21" s="155"/>
      <c r="J21" s="155"/>
      <c r="K21" s="155" t="str">
        <f>IF(裝船表格!G45="","",裝船表格!G45)</f>
        <v>Blue</v>
      </c>
      <c r="L21" s="155"/>
      <c r="M21" s="155"/>
      <c r="N21" s="155">
        <f>IF(裝船表格!J45="","",裝船表格!J45)</f>
        <v>62.222000000000001</v>
      </c>
      <c r="O21" s="155"/>
      <c r="P21" s="155" t="str">
        <f>IF(裝船表格!L45="","",裝船表格!L45)</f>
        <v>MT</v>
      </c>
      <c r="Q21" s="155">
        <f>IF(裝船表格!M45="","",裝船表格!M45)</f>
        <v>62.444000000000003</v>
      </c>
      <c r="R21" s="155"/>
      <c r="S21" s="155" t="str">
        <f>IF(裝船表格!O45="","",裝船表格!O45)</f>
        <v>MT</v>
      </c>
      <c r="T21" s="155">
        <f>IF(裝船表格!P45="","",裝船表格!P45)</f>
        <v>8</v>
      </c>
      <c r="U21" s="155" t="str">
        <f>IF(裝船表格!Q45="","",裝船表格!Q45)</f>
        <v>coils</v>
      </c>
      <c r="V21" s="155"/>
      <c r="W21" s="155"/>
      <c r="X21" s="155"/>
    </row>
    <row r="22" spans="1:24" s="151" customFormat="1" ht="14.1" customHeight="1">
      <c r="E22" s="155" t="str">
        <f>IF(裝船表格!A46="","",裝船表格!A46)</f>
        <v>PPG112553</v>
      </c>
      <c r="F22" s="155"/>
      <c r="G22" s="155"/>
      <c r="H22" s="155" t="str">
        <f>IF(裝船表格!D46="","",裝船表格!D46)</f>
        <v>1008</v>
      </c>
      <c r="I22" s="155"/>
      <c r="J22" s="155"/>
      <c r="K22" s="155" t="str">
        <f>IF(裝船表格!G46="","",裝船表格!G46)</f>
        <v>Blue</v>
      </c>
      <c r="L22" s="155"/>
      <c r="M22" s="155"/>
      <c r="N22" s="155">
        <f>IF(裝船表格!J46="","",裝船表格!J46)</f>
        <v>63.222000000000001</v>
      </c>
      <c r="O22" s="155"/>
      <c r="P22" s="155" t="str">
        <f>IF(裝船表格!L46="","",裝船表格!L46)</f>
        <v>MT</v>
      </c>
      <c r="Q22" s="155">
        <f>IF(裝船表格!M46="","",裝船表格!M46)</f>
        <v>63.444000000000003</v>
      </c>
      <c r="R22" s="155"/>
      <c r="S22" s="155" t="str">
        <f>IF(裝船表格!O46="","",裝船表格!O46)</f>
        <v>MT</v>
      </c>
      <c r="T22" s="155">
        <f>IF(裝船表格!P46="","",裝船表格!P46)</f>
        <v>9</v>
      </c>
      <c r="U22" s="155" t="str">
        <f>IF(裝船表格!Q46="","",裝船表格!Q46)</f>
        <v>coils</v>
      </c>
      <c r="V22" s="155"/>
      <c r="W22" s="155"/>
      <c r="X22" s="155"/>
    </row>
    <row r="23" spans="1:24" s="151" customFormat="1" ht="14.1" customHeight="1">
      <c r="E23" s="155" t="str">
        <f>IF(裝船表格!A47="","",裝船表格!A47)</f>
        <v>PPG112554</v>
      </c>
      <c r="F23" s="155"/>
      <c r="G23" s="155"/>
      <c r="H23" s="155" t="str">
        <f>IF(裝船表格!D47="","",裝船表格!D47)</f>
        <v>1009</v>
      </c>
      <c r="I23" s="155"/>
      <c r="J23" s="155"/>
      <c r="K23" s="155" t="str">
        <f>IF(裝船表格!G47="","",裝船表格!G47)</f>
        <v>Blue</v>
      </c>
      <c r="L23" s="155"/>
      <c r="M23" s="155"/>
      <c r="N23" s="155">
        <f>IF(裝船表格!J47="","",裝船表格!J47)</f>
        <v>64.221999999999994</v>
      </c>
      <c r="O23" s="155"/>
      <c r="P23" s="155" t="str">
        <f>IF(裝船表格!L47="","",裝船表格!L47)</f>
        <v>MT</v>
      </c>
      <c r="Q23" s="155">
        <f>IF(裝船表格!M47="","",裝船表格!M47)</f>
        <v>64.444000000000003</v>
      </c>
      <c r="R23" s="155"/>
      <c r="S23" s="155" t="str">
        <f>IF(裝船表格!O47="","",裝船表格!O47)</f>
        <v>MT</v>
      </c>
      <c r="T23" s="155">
        <f>IF(裝船表格!P47="","",裝船表格!P47)</f>
        <v>10</v>
      </c>
      <c r="U23" s="155" t="str">
        <f>IF(裝船表格!Q47="","",裝船表格!Q47)</f>
        <v>coils</v>
      </c>
      <c r="V23" s="155"/>
      <c r="W23" s="155"/>
      <c r="X23" s="155"/>
    </row>
    <row r="24" spans="1:24" s="151" customFormat="1" ht="14.1" customHeight="1">
      <c r="E24" s="155" t="str">
        <f>IF(裝船表格!A48="","",裝船表格!A48)</f>
        <v>PPG112555</v>
      </c>
      <c r="F24" s="155"/>
      <c r="G24" s="155"/>
      <c r="H24" s="155" t="str">
        <f>IF(裝船表格!D48="","",裝船表格!D48)</f>
        <v>1010</v>
      </c>
      <c r="I24" s="155"/>
      <c r="J24" s="155"/>
      <c r="K24" s="155" t="str">
        <f>IF(裝船表格!G48="","",裝船表格!G48)</f>
        <v>Blue</v>
      </c>
      <c r="L24" s="155"/>
      <c r="M24" s="155"/>
      <c r="N24" s="155">
        <f>IF(裝船表格!J48="","",裝船表格!J48)</f>
        <v>65.221999999999994</v>
      </c>
      <c r="O24" s="155"/>
      <c r="P24" s="155" t="str">
        <f>IF(裝船表格!L48="","",裝船表格!L48)</f>
        <v>MT</v>
      </c>
      <c r="Q24" s="155">
        <f>IF(裝船表格!M48="","",裝船表格!M48)</f>
        <v>65.444000000000003</v>
      </c>
      <c r="R24" s="155"/>
      <c r="S24" s="155" t="str">
        <f>IF(裝船表格!O48="","",裝船表格!O48)</f>
        <v>MT</v>
      </c>
      <c r="T24" s="155">
        <f>IF(裝船表格!P48="","",裝船表格!P48)</f>
        <v>11</v>
      </c>
      <c r="U24" s="155" t="str">
        <f>IF(裝船表格!Q48="","",裝船表格!Q48)</f>
        <v>coils</v>
      </c>
      <c r="V24" s="155"/>
      <c r="W24" s="155"/>
      <c r="X24" s="155"/>
    </row>
    <row r="25" spans="1:24" s="151" customFormat="1" ht="14.1" customHeight="1">
      <c r="E25" s="155" t="str">
        <f>IF(裝船表格!A49="","",裝船表格!A49)</f>
        <v>PPG112556</v>
      </c>
      <c r="F25" s="155"/>
      <c r="G25" s="155"/>
      <c r="H25" s="155" t="str">
        <f>IF(裝船表格!D49="","",裝船表格!D49)</f>
        <v>1011</v>
      </c>
      <c r="I25" s="155"/>
      <c r="J25" s="155"/>
      <c r="K25" s="155" t="str">
        <f>IF(裝船表格!G49="","",裝船表格!G49)</f>
        <v>Blue</v>
      </c>
      <c r="L25" s="155"/>
      <c r="M25" s="155"/>
      <c r="N25" s="155">
        <f>IF(裝船表格!J49="","",裝船表格!J49)</f>
        <v>66.221999999999994</v>
      </c>
      <c r="O25" s="155"/>
      <c r="P25" s="155" t="str">
        <f>IF(裝船表格!L49="","",裝船表格!L49)</f>
        <v>MT</v>
      </c>
      <c r="Q25" s="155">
        <f>IF(裝船表格!M49="","",裝船表格!M49)</f>
        <v>66.444000000000003</v>
      </c>
      <c r="R25" s="155"/>
      <c r="S25" s="155" t="str">
        <f>IF(裝船表格!O49="","",裝船表格!O49)</f>
        <v>MT</v>
      </c>
      <c r="T25" s="155">
        <f>IF(裝船表格!P49="","",裝船表格!P49)</f>
        <v>12</v>
      </c>
      <c r="U25" s="155" t="str">
        <f>IF(裝船表格!Q49="","",裝船表格!Q49)</f>
        <v>coils</v>
      </c>
      <c r="V25" s="155"/>
      <c r="W25" s="155"/>
      <c r="X25" s="155"/>
    </row>
    <row r="26" spans="1:24" s="151" customFormat="1" ht="14.1" customHeight="1">
      <c r="E26" s="155" t="str">
        <f>IF(裝船表格!A50="","",裝船表格!A50)</f>
        <v>PPG112557</v>
      </c>
      <c r="F26" s="155"/>
      <c r="G26" s="155"/>
      <c r="H26" s="155" t="str">
        <f>IF(裝船表格!D50="","",裝船表格!D50)</f>
        <v>1012</v>
      </c>
      <c r="I26" s="155"/>
      <c r="J26" s="155"/>
      <c r="K26" s="155" t="str">
        <f>IF(裝船表格!G50="","",裝船表格!G50)</f>
        <v>Blue</v>
      </c>
      <c r="L26" s="155"/>
      <c r="M26" s="155"/>
      <c r="N26" s="155">
        <f>IF(裝船表格!J50="","",裝船表格!J50)</f>
        <v>67.221999999999994</v>
      </c>
      <c r="O26" s="155"/>
      <c r="P26" s="155" t="str">
        <f>IF(裝船表格!L50="","",裝船表格!L50)</f>
        <v>MT</v>
      </c>
      <c r="Q26" s="155">
        <f>IF(裝船表格!M50="","",裝船表格!M50)</f>
        <v>67.444000000000003</v>
      </c>
      <c r="R26" s="155"/>
      <c r="S26" s="155" t="str">
        <f>IF(裝船表格!O50="","",裝船表格!O50)</f>
        <v>MT</v>
      </c>
      <c r="T26" s="155">
        <f>IF(裝船表格!P50="","",裝船表格!P50)</f>
        <v>13</v>
      </c>
      <c r="U26" s="155" t="str">
        <f>IF(裝船表格!Q50="","",裝船表格!Q50)</f>
        <v>coils</v>
      </c>
      <c r="V26" s="155"/>
      <c r="W26" s="155"/>
      <c r="X26" s="155"/>
    </row>
    <row r="27" spans="1:24" s="151" customFormat="1" ht="14.1" customHeight="1">
      <c r="E27" s="155" t="str">
        <f>IF(裝船表格!A51="","",裝船表格!A51)</f>
        <v>PPG112558</v>
      </c>
      <c r="F27" s="155"/>
      <c r="G27" s="155"/>
      <c r="H27" s="155" t="str">
        <f>IF(裝船表格!D51="","",裝船表格!D51)</f>
        <v>1013</v>
      </c>
      <c r="I27" s="155"/>
      <c r="J27" s="155"/>
      <c r="K27" s="155" t="str">
        <f>IF(裝船表格!G51="","",裝船表格!G51)</f>
        <v>Blue</v>
      </c>
      <c r="L27" s="155"/>
      <c r="M27" s="155"/>
      <c r="N27" s="155">
        <f>IF(裝船表格!J51="","",裝船表格!J51)</f>
        <v>68.221999999999994</v>
      </c>
      <c r="O27" s="155"/>
      <c r="P27" s="155" t="str">
        <f>IF(裝船表格!L51="","",裝船表格!L51)</f>
        <v>MT</v>
      </c>
      <c r="Q27" s="155">
        <f>IF(裝船表格!M51="","",裝船表格!M51)</f>
        <v>68.444000000000003</v>
      </c>
      <c r="R27" s="155"/>
      <c r="S27" s="155" t="str">
        <f>IF(裝船表格!O51="","",裝船表格!O51)</f>
        <v>MT</v>
      </c>
      <c r="T27" s="155">
        <f>IF(裝船表格!P51="","",裝船表格!P51)</f>
        <v>14</v>
      </c>
      <c r="U27" s="155" t="str">
        <f>IF(裝船表格!Q51="","",裝船表格!Q51)</f>
        <v>coils</v>
      </c>
      <c r="V27" s="155"/>
      <c r="W27" s="155"/>
      <c r="X27" s="155"/>
    </row>
    <row r="28" spans="1:24" s="151" customFormat="1" ht="14.1" customHeight="1">
      <c r="E28" s="155" t="str">
        <f>IF(裝船表格!A52="","",裝船表格!A52)</f>
        <v>PPG112559</v>
      </c>
      <c r="F28" s="155"/>
      <c r="G28" s="155"/>
      <c r="H28" s="155" t="str">
        <f>IF(裝船表格!D52="","",裝船表格!D52)</f>
        <v>1014</v>
      </c>
      <c r="I28" s="155"/>
      <c r="J28" s="155"/>
      <c r="K28" s="155" t="str">
        <f>IF(裝船表格!G52="","",裝船表格!G52)</f>
        <v>Blue</v>
      </c>
      <c r="L28" s="155"/>
      <c r="M28" s="155"/>
      <c r="N28" s="155">
        <f>IF(裝船表格!J52="","",裝船表格!J52)</f>
        <v>69.221999999999994</v>
      </c>
      <c r="O28" s="155"/>
      <c r="P28" s="155" t="str">
        <f>IF(裝船表格!L52="","",裝船表格!L52)</f>
        <v>MT</v>
      </c>
      <c r="Q28" s="155">
        <f>IF(裝船表格!M52="","",裝船表格!M52)</f>
        <v>69.444000000000003</v>
      </c>
      <c r="R28" s="155"/>
      <c r="S28" s="155" t="str">
        <f>IF(裝船表格!O52="","",裝船表格!O52)</f>
        <v>MT</v>
      </c>
      <c r="T28" s="155">
        <f>IF(裝船表格!P52="","",裝船表格!P52)</f>
        <v>15</v>
      </c>
      <c r="U28" s="155" t="str">
        <f>IF(裝船表格!Q52="","",裝船表格!Q52)</f>
        <v>coils</v>
      </c>
      <c r="V28" s="155"/>
      <c r="W28" s="155"/>
      <c r="X28" s="155"/>
    </row>
    <row r="29" spans="1:24" s="151" customFormat="1" ht="14.1" customHeight="1">
      <c r="E29" s="155" t="str">
        <f>IF(裝船表格!A53="","",裝船表格!A53)</f>
        <v>PPG112560</v>
      </c>
      <c r="F29" s="155"/>
      <c r="G29" s="155"/>
      <c r="H29" s="155" t="str">
        <f>IF(裝船表格!D53="","",裝船表格!D53)</f>
        <v>1015</v>
      </c>
      <c r="I29" s="155"/>
      <c r="J29" s="155"/>
      <c r="K29" s="155" t="str">
        <f>IF(裝船表格!G53="","",裝船表格!G53)</f>
        <v>Blue</v>
      </c>
      <c r="L29" s="155"/>
      <c r="M29" s="155"/>
      <c r="N29" s="155">
        <f>IF(裝船表格!J53="","",裝船表格!J53)</f>
        <v>70.221999999999994</v>
      </c>
      <c r="O29" s="155"/>
      <c r="P29" s="155" t="str">
        <f>IF(裝船表格!L53="","",裝船表格!L53)</f>
        <v>MT</v>
      </c>
      <c r="Q29" s="155">
        <f>IF(裝船表格!M53="","",裝船表格!M53)</f>
        <v>70.444000000000003</v>
      </c>
      <c r="R29" s="155"/>
      <c r="S29" s="155" t="str">
        <f>IF(裝船表格!O53="","",裝船表格!O53)</f>
        <v>MT</v>
      </c>
      <c r="T29" s="155">
        <f>IF(裝船表格!P53="","",裝船表格!P53)</f>
        <v>16</v>
      </c>
      <c r="U29" s="155" t="str">
        <f>IF(裝船表格!Q53="","",裝船表格!Q53)</f>
        <v>coils</v>
      </c>
      <c r="V29" s="155"/>
      <c r="W29" s="155"/>
      <c r="X29" s="155"/>
    </row>
    <row r="30" spans="1:24" s="151" customFormat="1" ht="14.1" customHeight="1">
      <c r="E30" s="155" t="str">
        <f>IF(裝船表格!A54="","",裝船表格!A54)</f>
        <v>Total</v>
      </c>
      <c r="F30" s="155" t="str">
        <f>IF(裝船表格!B54="","",裝船表格!B54)</f>
        <v/>
      </c>
      <c r="G30" s="155" t="str">
        <f>IF(裝船表格!C54="","",裝船表格!C54)</f>
        <v/>
      </c>
      <c r="H30" s="155" t="str">
        <f>IF(裝船表格!D54="","",裝船表格!D54)</f>
        <v/>
      </c>
      <c r="I30" s="155" t="str">
        <f>IF(裝船表格!E54="","",裝船表格!E54)</f>
        <v/>
      </c>
      <c r="J30" s="155" t="str">
        <f>IF(裝船表格!F54="","",裝船表格!F54)</f>
        <v/>
      </c>
      <c r="K30" s="155" t="str">
        <f>IF(裝船表格!G54="","",裝船表格!G54)</f>
        <v/>
      </c>
      <c r="L30" s="155" t="str">
        <f>IF(裝船表格!H54="","",裝船表格!H54)</f>
        <v/>
      </c>
      <c r="M30" s="155" t="str">
        <f>IF(裝船表格!I54="","",裝船表格!I54)</f>
        <v/>
      </c>
      <c r="N30" s="155">
        <f>IF(裝船表格!J54="","",裝船表格!J54)</f>
        <v>1003.5519999999998</v>
      </c>
      <c r="O30" s="155"/>
      <c r="P30" s="155" t="str">
        <f>IF(裝船表格!L54="","",裝船表格!L54)</f>
        <v>MT</v>
      </c>
      <c r="Q30" s="155">
        <f>IF(裝船表格!M54="","",裝船表格!M54)</f>
        <v>1007.1039999999998</v>
      </c>
      <c r="R30" s="155"/>
      <c r="S30" s="155" t="str">
        <f>IF(裝船表格!O54="","",裝船表格!O54)</f>
        <v>MT</v>
      </c>
      <c r="T30" s="155">
        <f>IF(裝船表格!P54="","",裝船表格!P54)</f>
        <v>136</v>
      </c>
      <c r="U30" s="155" t="str">
        <f>IF(裝船表格!Q54="","",裝船表格!Q54)</f>
        <v>coils</v>
      </c>
      <c r="V30" s="155"/>
      <c r="W30" s="155"/>
      <c r="X30" s="155"/>
    </row>
    <row r="31" spans="1:24" ht="14.1" customHeight="1">
      <c r="A31" s="367"/>
      <c r="B31" s="367"/>
      <c r="C31" s="367"/>
      <c r="D31" s="367"/>
      <c r="E31" s="367"/>
      <c r="F31" s="367"/>
      <c r="G31" s="367"/>
      <c r="H31" s="367"/>
      <c r="I31" s="367"/>
      <c r="J31" s="367"/>
      <c r="K31" s="367"/>
      <c r="L31" s="367"/>
      <c r="M31" s="367"/>
      <c r="N31" s="367"/>
      <c r="O31" s="367"/>
      <c r="P31" s="367"/>
      <c r="Q31" s="367"/>
      <c r="R31" s="367"/>
      <c r="S31" s="367"/>
      <c r="T31" s="367"/>
      <c r="U31" s="367"/>
      <c r="V31" s="367"/>
      <c r="W31" s="367"/>
      <c r="X31" s="367"/>
    </row>
    <row r="32" spans="1:24" ht="17.100000000000001" customHeight="1">
      <c r="A32" s="339" t="s">
        <v>71</v>
      </c>
      <c r="B32" s="339"/>
      <c r="C32" s="339"/>
      <c r="D32" s="339"/>
      <c r="E32" s="364" t="str">
        <f>裝船表格!AB9</f>
        <v>Per M.V. "XXXXXXX" V-1234 from Kaohsiung Taiwan Port to Ravenna port, Italy</v>
      </c>
      <c r="F32" s="364"/>
      <c r="G32" s="364"/>
      <c r="H32" s="364"/>
      <c r="I32" s="364"/>
      <c r="J32" s="364"/>
      <c r="K32" s="364"/>
      <c r="L32" s="364"/>
      <c r="M32" s="364"/>
      <c r="N32" s="364"/>
      <c r="O32" s="364"/>
      <c r="P32" s="364"/>
      <c r="Q32" s="364"/>
      <c r="R32" s="364"/>
      <c r="S32" s="364"/>
      <c r="T32" s="364"/>
      <c r="U32" s="364"/>
      <c r="V32" s="364"/>
      <c r="W32" s="364"/>
      <c r="X32" s="364"/>
    </row>
    <row r="33" spans="1:24" ht="14.1" customHeight="1"/>
    <row r="34" spans="1:24" ht="14.1" customHeight="1">
      <c r="A34" s="339" t="s">
        <v>27</v>
      </c>
      <c r="B34" s="339"/>
      <c r="C34" s="339"/>
      <c r="D34" s="339"/>
      <c r="E34" s="367" t="str">
        <f>裝船表格!I10</f>
        <v>Yieh United Steel Corporation</v>
      </c>
      <c r="F34" s="367"/>
      <c r="G34" s="367"/>
      <c r="H34" s="367"/>
      <c r="I34" s="367"/>
      <c r="J34" s="367"/>
      <c r="K34" s="367"/>
      <c r="L34" s="367"/>
      <c r="M34" s="367"/>
      <c r="N34" s="367"/>
      <c r="O34" s="367"/>
      <c r="P34" s="367"/>
      <c r="Q34" s="367"/>
      <c r="R34" s="367"/>
      <c r="S34" s="367"/>
      <c r="T34" s="367"/>
      <c r="U34" s="367"/>
      <c r="V34" s="367"/>
      <c r="W34" s="367"/>
      <c r="X34" s="367"/>
    </row>
    <row r="35" spans="1:24" ht="14.1" customHeight="1"/>
    <row r="36" spans="1:24" ht="14.1" customHeight="1">
      <c r="A36" s="339" t="s">
        <v>29</v>
      </c>
      <c r="B36" s="339"/>
      <c r="C36" s="339"/>
      <c r="D36" s="339"/>
      <c r="E36" s="367" t="str">
        <f>裝船表格!I12</f>
        <v>C.P.C. Inox Spa</v>
      </c>
      <c r="F36" s="367"/>
      <c r="G36" s="367"/>
      <c r="H36" s="367"/>
      <c r="I36" s="367"/>
      <c r="J36" s="367"/>
      <c r="K36" s="367"/>
      <c r="L36" s="367"/>
      <c r="M36" s="367"/>
      <c r="N36" s="367"/>
      <c r="O36" s="367"/>
      <c r="P36" s="367"/>
      <c r="Q36" s="367"/>
      <c r="R36" s="367"/>
      <c r="S36" s="367"/>
      <c r="T36" s="367"/>
      <c r="U36" s="367"/>
      <c r="V36" s="367"/>
      <c r="W36" s="367"/>
      <c r="X36" s="367"/>
    </row>
    <row r="37" spans="1:24" ht="14.1" customHeight="1"/>
    <row r="38" spans="1:24" ht="45.95" customHeight="1">
      <c r="A38" s="339" t="s">
        <v>72</v>
      </c>
      <c r="B38" s="339"/>
      <c r="C38" s="339"/>
      <c r="D38" s="339"/>
      <c r="E38" s="364" t="str">
        <f>裝船表格!E20</f>
        <v>Each horizontal coil wrapped in a moisture-resistance plasticized Kraft envelope with circumferential metal sheet, both side cardboard discs, and four outer and core protection steel rings, then secured with 3 cycle flat plastic bands as well as 2 radial flat metal strapping bands.</v>
      </c>
      <c r="F38" s="364"/>
      <c r="G38" s="364"/>
      <c r="H38" s="364"/>
      <c r="I38" s="364"/>
      <c r="J38" s="364"/>
      <c r="K38" s="364"/>
      <c r="L38" s="364"/>
      <c r="M38" s="364"/>
      <c r="N38" s="364"/>
      <c r="O38" s="364"/>
      <c r="P38" s="364"/>
      <c r="Q38" s="364"/>
      <c r="R38" s="364"/>
      <c r="S38" s="364"/>
      <c r="T38" s="364"/>
      <c r="U38" s="364"/>
      <c r="V38" s="364"/>
      <c r="W38" s="364"/>
      <c r="X38" s="364"/>
    </row>
    <row r="39" spans="1:24" ht="14.1" customHeight="1"/>
    <row r="40" spans="1:24" ht="33" customHeight="1">
      <c r="A40" s="339" t="s">
        <v>73</v>
      </c>
      <c r="B40" s="339"/>
      <c r="C40" s="339"/>
      <c r="D40" s="339"/>
      <c r="E40" s="364" t="str">
        <f>裝船表格!E18</f>
        <v>Coils revealed to be labelled with the wording “--------, C.P.C. Inox Spa, Ravenna, Italy, CPC No., No., Made in Taiwan, etc.” at one side and on core package respectively.</v>
      </c>
      <c r="F40" s="364"/>
      <c r="G40" s="364"/>
      <c r="H40" s="364"/>
      <c r="I40" s="364"/>
      <c r="J40" s="364"/>
      <c r="K40" s="364"/>
      <c r="L40" s="364"/>
      <c r="M40" s="364"/>
      <c r="N40" s="364"/>
      <c r="O40" s="364"/>
      <c r="P40" s="364"/>
      <c r="Q40" s="364"/>
      <c r="R40" s="364"/>
      <c r="S40" s="364"/>
      <c r="T40" s="364"/>
      <c r="U40" s="364"/>
      <c r="V40" s="364"/>
      <c r="W40" s="364"/>
      <c r="X40" s="364"/>
    </row>
    <row r="41" spans="1:24" ht="14.1" customHeight="1">
      <c r="A41" s="367"/>
      <c r="B41" s="367"/>
      <c r="C41" s="367"/>
      <c r="D41" s="367"/>
      <c r="E41" s="367"/>
      <c r="F41" s="367"/>
      <c r="G41" s="367"/>
      <c r="H41" s="367"/>
      <c r="I41" s="367"/>
      <c r="J41" s="367"/>
      <c r="K41" s="367"/>
      <c r="L41" s="367"/>
      <c r="M41" s="367"/>
      <c r="N41" s="367"/>
      <c r="O41" s="367"/>
      <c r="P41" s="367"/>
      <c r="Q41" s="367"/>
      <c r="R41" s="367"/>
      <c r="S41" s="367"/>
      <c r="T41" s="367"/>
      <c r="U41" s="367"/>
      <c r="V41" s="367"/>
      <c r="W41" s="367"/>
      <c r="X41" s="367"/>
    </row>
    <row r="42" spans="1:24" ht="14.1" hidden="1" customHeight="1">
      <c r="A42" s="362" t="s">
        <v>752</v>
      </c>
      <c r="B42" s="362"/>
      <c r="C42" s="362"/>
      <c r="D42" s="363"/>
      <c r="E42" s="344" t="s">
        <v>711</v>
      </c>
      <c r="F42" s="344"/>
      <c r="G42" s="344"/>
      <c r="H42" s="344"/>
      <c r="I42" s="344"/>
      <c r="J42" s="344"/>
      <c r="K42" s="344"/>
      <c r="L42" s="344"/>
      <c r="M42" s="344"/>
      <c r="N42" s="344"/>
      <c r="O42" s="344"/>
      <c r="P42" s="345" t="s">
        <v>712</v>
      </c>
      <c r="Q42" s="345"/>
      <c r="R42" s="345"/>
      <c r="S42" s="345"/>
      <c r="T42" s="345"/>
      <c r="U42" s="345"/>
      <c r="V42" s="345"/>
      <c r="W42" s="345"/>
      <c r="X42" s="345"/>
    </row>
    <row r="43" spans="1:24" ht="14.1" hidden="1" customHeight="1">
      <c r="A43" s="362"/>
      <c r="B43" s="362"/>
      <c r="C43" s="362"/>
      <c r="D43" s="363"/>
      <c r="E43" s="344" t="s">
        <v>714</v>
      </c>
      <c r="F43" s="344"/>
      <c r="G43" s="344"/>
      <c r="H43" s="344"/>
      <c r="I43" s="344"/>
      <c r="J43" s="344"/>
      <c r="K43" s="344"/>
      <c r="L43" s="344"/>
      <c r="M43" s="344"/>
      <c r="N43" s="344"/>
      <c r="O43" s="344"/>
      <c r="P43" s="345" t="s">
        <v>715</v>
      </c>
      <c r="Q43" s="345"/>
      <c r="R43" s="345"/>
      <c r="S43" s="345"/>
      <c r="T43" s="345"/>
      <c r="U43" s="345"/>
      <c r="V43" s="345"/>
      <c r="W43" s="345"/>
      <c r="X43" s="345"/>
    </row>
    <row r="44" spans="1:24" ht="14.1" hidden="1" customHeight="1">
      <c r="A44" s="264"/>
      <c r="B44" s="83"/>
      <c r="C44" s="83"/>
      <c r="D44" s="173"/>
      <c r="E44" s="344" t="s">
        <v>716</v>
      </c>
      <c r="F44" s="344"/>
      <c r="G44" s="344"/>
      <c r="H44" s="344"/>
      <c r="I44" s="344"/>
      <c r="J44" s="344"/>
      <c r="K44" s="344"/>
      <c r="L44" s="344"/>
      <c r="M44" s="344"/>
      <c r="N44" s="344"/>
      <c r="O44" s="344"/>
      <c r="P44" s="345" t="s">
        <v>717</v>
      </c>
      <c r="Q44" s="345"/>
      <c r="R44" s="345"/>
      <c r="S44" s="345"/>
      <c r="T44" s="345"/>
      <c r="U44" s="345"/>
      <c r="V44" s="345"/>
      <c r="W44" s="345"/>
      <c r="X44" s="345"/>
    </row>
    <row r="45" spans="1:24" ht="14.1" hidden="1" customHeight="1">
      <c r="A45" s="264"/>
      <c r="B45" s="83"/>
      <c r="C45" s="83"/>
      <c r="D45" s="173"/>
      <c r="E45" s="344" t="s">
        <v>718</v>
      </c>
      <c r="F45" s="344"/>
      <c r="G45" s="344"/>
      <c r="H45" s="344"/>
      <c r="I45" s="344"/>
      <c r="J45" s="344"/>
      <c r="K45" s="344"/>
      <c r="L45" s="344"/>
      <c r="M45" s="344"/>
      <c r="N45" s="344"/>
      <c r="O45" s="344"/>
      <c r="P45" s="345" t="s">
        <v>719</v>
      </c>
      <c r="Q45" s="345"/>
      <c r="R45" s="345"/>
      <c r="S45" s="345"/>
      <c r="T45" s="345"/>
      <c r="U45" s="345"/>
      <c r="V45" s="345"/>
      <c r="W45" s="345"/>
      <c r="X45" s="345"/>
    </row>
    <row r="46" spans="1:24" ht="14.1" hidden="1" customHeight="1">
      <c r="A46" s="213"/>
      <c r="B46" s="213"/>
      <c r="C46" s="213"/>
      <c r="D46" s="213"/>
      <c r="E46" s="213"/>
      <c r="F46" s="213"/>
      <c r="G46" s="213"/>
      <c r="H46" s="213"/>
      <c r="I46" s="213"/>
      <c r="J46" s="213"/>
      <c r="K46" s="213"/>
      <c r="L46" s="213"/>
      <c r="M46" s="213"/>
      <c r="N46" s="213"/>
      <c r="O46" s="213"/>
      <c r="P46" s="213"/>
      <c r="Q46" s="213"/>
      <c r="R46" s="213"/>
      <c r="S46" s="213"/>
      <c r="T46" s="213"/>
      <c r="U46" s="213"/>
      <c r="V46" s="213"/>
      <c r="W46" s="213"/>
      <c r="X46" s="213"/>
    </row>
    <row r="47" spans="1:24" ht="14.1" customHeight="1">
      <c r="A47" s="339" t="str">
        <f>裝船資訊!A11</f>
        <v>GENERAL</v>
      </c>
      <c r="B47" s="339"/>
      <c r="C47" s="339"/>
      <c r="D47" s="339"/>
      <c r="E47" s="364" t="str">
        <f>裝船資訊!E11</f>
        <v>This is a bulk carrier with the erected forecastle deck, five (5) cargo holds and five (5) hatches, while the superstructure and engine room all situated at aft. (Photo No. 1)</v>
      </c>
      <c r="F47" s="364"/>
      <c r="G47" s="364"/>
      <c r="H47" s="364"/>
      <c r="I47" s="364"/>
      <c r="J47" s="364"/>
      <c r="K47" s="364"/>
      <c r="L47" s="364"/>
      <c r="M47" s="364"/>
      <c r="N47" s="364"/>
      <c r="O47" s="364"/>
      <c r="P47" s="364"/>
      <c r="Q47" s="364"/>
      <c r="R47" s="364"/>
      <c r="S47" s="364"/>
      <c r="T47" s="364"/>
      <c r="U47" s="364"/>
      <c r="V47" s="364"/>
      <c r="W47" s="364"/>
      <c r="X47" s="364"/>
    </row>
    <row r="48" spans="1:24" ht="14.1" customHeight="1">
      <c r="A48" s="213"/>
      <c r="B48" s="213"/>
      <c r="C48" s="213"/>
      <c r="D48" s="213"/>
      <c r="E48" s="213"/>
      <c r="F48" s="213"/>
      <c r="G48" s="213"/>
      <c r="H48" s="213"/>
      <c r="I48" s="213"/>
      <c r="J48" s="213"/>
      <c r="K48" s="213"/>
      <c r="L48" s="213"/>
      <c r="M48" s="213"/>
      <c r="N48" s="213"/>
      <c r="O48" s="213"/>
      <c r="P48" s="213"/>
      <c r="Q48" s="213"/>
      <c r="R48" s="213"/>
      <c r="S48" s="213"/>
      <c r="T48" s="213"/>
      <c r="U48" s="213"/>
      <c r="V48" s="213"/>
      <c r="W48" s="213"/>
      <c r="X48" s="213"/>
    </row>
    <row r="49" spans="1:24" ht="38.1" customHeight="1">
      <c r="A49" s="365" t="str">
        <f>裝船資訊!A13</f>
        <v>HATCH
COVER</v>
      </c>
      <c r="B49" s="365"/>
      <c r="C49" s="365"/>
      <c r="D49" s="365"/>
      <c r="E49" s="364" t="str">
        <f>裝船資訊!E13</f>
        <v>The ship’s Hatch No.1, 2, 3, 4, 5 installed with 4 steel panels of MacGREGOR folding type hatch covers, appeared to be in normal condition. ( Photo No. 2~5).</v>
      </c>
      <c r="F49" s="364"/>
      <c r="G49" s="364"/>
      <c r="H49" s="364"/>
      <c r="I49" s="364"/>
      <c r="J49" s="364"/>
      <c r="K49" s="364"/>
      <c r="L49" s="364"/>
      <c r="M49" s="364"/>
      <c r="N49" s="364"/>
      <c r="O49" s="364"/>
      <c r="P49" s="364"/>
      <c r="Q49" s="364"/>
      <c r="R49" s="364"/>
      <c r="S49" s="364"/>
      <c r="T49" s="364"/>
      <c r="U49" s="364"/>
      <c r="V49" s="364"/>
      <c r="W49" s="364"/>
      <c r="X49" s="364"/>
    </row>
    <row r="50" spans="1:24" ht="14.1" customHeight="1">
      <c r="A50" s="213"/>
      <c r="B50" s="213"/>
      <c r="C50" s="213"/>
      <c r="D50" s="213"/>
      <c r="E50" s="213"/>
      <c r="F50" s="213"/>
      <c r="G50" s="213"/>
      <c r="H50" s="213"/>
      <c r="I50" s="213"/>
      <c r="J50" s="213"/>
      <c r="K50" s="213"/>
      <c r="L50" s="213"/>
      <c r="M50" s="213"/>
      <c r="N50" s="213"/>
      <c r="O50" s="213"/>
      <c r="P50" s="213"/>
      <c r="Q50" s="213"/>
      <c r="R50" s="213"/>
      <c r="S50" s="213"/>
      <c r="T50" s="213"/>
      <c r="U50" s="213"/>
      <c r="V50" s="213"/>
      <c r="W50" s="213"/>
      <c r="X50" s="213"/>
    </row>
    <row r="51" spans="1:24" ht="62.45" customHeight="1">
      <c r="A51" s="365" t="str">
        <f>裝船資訊!A15</f>
        <v>CARGO
HOLD</v>
      </c>
      <c r="B51" s="365"/>
      <c r="C51" s="365"/>
      <c r="D51" s="365"/>
      <c r="E51" s="364" t="str">
        <f>裝船資訊!E15</f>
        <v>The ship’s Hold No. 1, 2, 3, 4, 5 appeared to be swept with no visible moisture on tank topplates for allocating the subject goods. Natural vents for hold ventilation in normal appearance were reported to be in good operational order. (Photo No. 5~9).</v>
      </c>
      <c r="F51" s="364"/>
      <c r="G51" s="364"/>
      <c r="H51" s="364"/>
      <c r="I51" s="364"/>
      <c r="J51" s="364"/>
      <c r="K51" s="364"/>
      <c r="L51" s="364"/>
      <c r="M51" s="364"/>
      <c r="N51" s="364"/>
      <c r="O51" s="364"/>
      <c r="P51" s="364"/>
      <c r="Q51" s="364"/>
      <c r="R51" s="364"/>
      <c r="S51" s="364"/>
      <c r="T51" s="364"/>
      <c r="U51" s="364"/>
      <c r="V51" s="364"/>
      <c r="W51" s="364"/>
      <c r="X51" s="364"/>
    </row>
    <row r="52" spans="1:24" ht="14.1" customHeight="1">
      <c r="A52" s="213"/>
      <c r="B52" s="213"/>
      <c r="C52" s="213"/>
      <c r="D52" s="213"/>
      <c r="E52" s="213"/>
      <c r="F52" s="213"/>
      <c r="G52" s="213"/>
      <c r="H52" s="213"/>
      <c r="I52" s="213"/>
      <c r="J52" s="213"/>
      <c r="K52" s="213"/>
      <c r="L52" s="213"/>
      <c r="M52" s="213"/>
      <c r="N52" s="213"/>
      <c r="O52" s="213"/>
      <c r="P52" s="213"/>
      <c r="Q52" s="213"/>
      <c r="R52" s="213"/>
      <c r="S52" s="213"/>
      <c r="T52" s="213"/>
      <c r="U52" s="213"/>
      <c r="V52" s="213"/>
      <c r="W52" s="213"/>
      <c r="X52" s="213"/>
    </row>
    <row r="53" spans="1:24" ht="50.45" customHeight="1">
      <c r="A53" s="339" t="str">
        <f>裝船資訊!A17</f>
        <v>GODOWN</v>
      </c>
      <c r="B53" s="339"/>
      <c r="C53" s="339"/>
      <c r="D53" s="339"/>
      <c r="E53" s="364" t="str">
        <f>裝船資訊!E17</f>
        <v>The cargo in coils had been mostly stored in rows X 1 ~ 2 tier(s) high on the concrete ground in port godown No. 35 before the vessel’s arrival. Neither chemical nor corrosive object was uncovered in the vicinity. (Photo No. 5~9).</v>
      </c>
      <c r="F53" s="364"/>
      <c r="G53" s="364"/>
      <c r="H53" s="364"/>
      <c r="I53" s="364"/>
      <c r="J53" s="364"/>
      <c r="K53" s="364"/>
      <c r="L53" s="364"/>
      <c r="M53" s="364"/>
      <c r="N53" s="364"/>
      <c r="O53" s="364"/>
      <c r="P53" s="364"/>
      <c r="Q53" s="364"/>
      <c r="R53" s="364"/>
      <c r="S53" s="364"/>
      <c r="T53" s="364"/>
      <c r="U53" s="364"/>
      <c r="V53" s="364"/>
      <c r="W53" s="364"/>
      <c r="X53" s="364"/>
    </row>
    <row r="54" spans="1:24" ht="15">
      <c r="A54" s="214"/>
      <c r="B54" s="214"/>
      <c r="C54" s="214"/>
      <c r="D54" s="214"/>
      <c r="E54" s="215"/>
      <c r="F54" s="215"/>
      <c r="G54" s="215"/>
      <c r="H54" s="215"/>
      <c r="I54" s="215"/>
      <c r="J54" s="215"/>
      <c r="K54" s="215"/>
      <c r="L54" s="215"/>
      <c r="M54" s="215"/>
      <c r="N54" s="215"/>
      <c r="O54" s="215"/>
      <c r="P54" s="215"/>
      <c r="Q54" s="215"/>
      <c r="R54" s="215"/>
      <c r="S54" s="215"/>
      <c r="T54" s="215"/>
      <c r="U54" s="215"/>
      <c r="V54" s="215"/>
      <c r="W54" s="215"/>
      <c r="X54" s="215"/>
    </row>
    <row r="55" spans="1:24" ht="90.6" customHeight="1">
      <c r="A55" s="339" t="str">
        <f>裝船資訊!A19</f>
        <v>LOADING</v>
      </c>
      <c r="B55" s="339"/>
      <c r="C55" s="339"/>
      <c r="D55" s="339"/>
      <c r="E55" s="364" t="str">
        <f>裝船資訊!E19</f>
        <v>The cargo in coils was moved by single-boom-/fork-lifts from piles to the chassis at port godown No. , next trailered to Wharf No. , and shifted by single-boom/fork-lifts from the chassis to line alongside the vessel, then loaded into the vessel’s Hold No.  by the ship’s gantry with the spreaders, wire ropes, steel chains, shackles and cargo hooks connecting to special belt slings. To facilitate the loading operation, single-boom-lifts were handled in the vessel’s holds for shifting and piling coils.</v>
      </c>
      <c r="F55" s="364"/>
      <c r="G55" s="364"/>
      <c r="H55" s="364"/>
      <c r="I55" s="364"/>
      <c r="J55" s="364"/>
      <c r="K55" s="364"/>
      <c r="L55" s="364"/>
      <c r="M55" s="364"/>
      <c r="N55" s="364"/>
      <c r="O55" s="364"/>
      <c r="P55" s="364"/>
      <c r="Q55" s="364"/>
      <c r="R55" s="364"/>
      <c r="S55" s="364"/>
      <c r="T55" s="364"/>
      <c r="U55" s="364"/>
      <c r="V55" s="364"/>
      <c r="W55" s="364"/>
      <c r="X55" s="364"/>
    </row>
    <row r="56" spans="1:24" ht="14.1" customHeight="1">
      <c r="A56" s="213"/>
      <c r="B56" s="213"/>
      <c r="C56" s="213"/>
      <c r="D56" s="213"/>
      <c r="E56" s="213"/>
      <c r="F56" s="213"/>
      <c r="G56" s="213"/>
      <c r="H56" s="213"/>
      <c r="I56" s="213"/>
      <c r="J56" s="213"/>
      <c r="K56" s="213"/>
      <c r="L56" s="213"/>
      <c r="M56" s="213"/>
      <c r="N56" s="213"/>
      <c r="O56" s="213"/>
      <c r="P56" s="213"/>
      <c r="Q56" s="213"/>
      <c r="R56" s="213"/>
      <c r="S56" s="213"/>
      <c r="T56" s="213"/>
      <c r="U56" s="213"/>
      <c r="V56" s="213"/>
      <c r="W56" s="213"/>
      <c r="X56" s="213"/>
    </row>
    <row r="57" spans="1:24" ht="14.1" customHeight="1">
      <c r="A57" s="339" t="s">
        <v>87</v>
      </c>
      <c r="B57" s="339"/>
      <c r="C57" s="339"/>
      <c r="D57" s="339"/>
      <c r="E57" s="152" t="str">
        <f>裝船表格!A26</f>
        <v>Vessle arrived</v>
      </c>
      <c r="F57" s="152"/>
      <c r="G57" s="152"/>
      <c r="H57" s="152"/>
      <c r="I57" s="152"/>
      <c r="L57" s="162" t="s">
        <v>10</v>
      </c>
      <c r="M57" s="156" t="str">
        <f>裝船表格!J26&amp;" "&amp;裝船表格!M26&amp;" "&amp;TEXT(裝船表格!O26,"mmmm dd, yyyy")</f>
        <v>0100 hrs. April 03, 2024</v>
      </c>
      <c r="N57" s="156"/>
      <c r="O57" s="156"/>
      <c r="P57" s="156"/>
      <c r="Q57" s="156"/>
      <c r="R57" s="156"/>
      <c r="S57" s="156"/>
      <c r="T57" s="156"/>
      <c r="U57" s="156"/>
      <c r="V57" s="156"/>
      <c r="W57" s="156"/>
      <c r="X57" s="156"/>
    </row>
    <row r="58" spans="1:24" ht="14.1" customHeight="1">
      <c r="A58" s="339"/>
      <c r="B58" s="339"/>
      <c r="C58" s="339"/>
      <c r="D58" s="339"/>
      <c r="E58" s="152" t="str">
        <f>裝船表格!A27</f>
        <v>Vessel berthed</v>
      </c>
      <c r="F58" s="152"/>
      <c r="G58" s="152"/>
      <c r="H58" s="152"/>
      <c r="I58" s="152"/>
      <c r="K58" s="162"/>
      <c r="L58" s="216" t="s">
        <v>10</v>
      </c>
      <c r="M58" s="156" t="str">
        <f>裝船表格!J27&amp;" "&amp;裝船表格!M27&amp;" "&amp;TEXT(裝船表格!O27,"mmmm dd, yyyy")</f>
        <v>0200 hrs. April 03, 2024</v>
      </c>
      <c r="N58" s="156"/>
      <c r="O58" s="156"/>
      <c r="P58" s="156"/>
      <c r="Q58" s="156"/>
      <c r="R58" s="156"/>
      <c r="S58" s="156"/>
      <c r="T58" s="156"/>
      <c r="U58" s="156"/>
      <c r="V58" s="156"/>
      <c r="W58" s="156"/>
      <c r="X58" s="156"/>
    </row>
    <row r="59" spans="1:24" ht="14.1" customHeight="1">
      <c r="A59" s="339"/>
      <c r="B59" s="339"/>
      <c r="C59" s="339"/>
      <c r="D59" s="339"/>
      <c r="E59" s="152" t="str">
        <f>裝船表格!A28</f>
        <v>Commencement of loading</v>
      </c>
      <c r="F59" s="152"/>
      <c r="G59" s="152"/>
      <c r="H59" s="152"/>
      <c r="I59" s="152"/>
      <c r="K59" s="216"/>
      <c r="L59" s="216" t="s">
        <v>10</v>
      </c>
      <c r="M59" s="156" t="str">
        <f>裝船表格!J28&amp;" "&amp;裝船表格!M28&amp;" "&amp;TEXT(裝船表格!O28,"mmmm dd, yyyy")</f>
        <v>0300 hrs. April 03, 2024</v>
      </c>
      <c r="N59" s="156"/>
      <c r="O59" s="156"/>
      <c r="P59" s="156"/>
      <c r="Q59" s="156"/>
      <c r="R59" s="156"/>
      <c r="S59" s="156"/>
      <c r="T59" s="156"/>
      <c r="U59" s="156"/>
      <c r="V59" s="156"/>
      <c r="W59" s="156"/>
      <c r="X59" s="156"/>
    </row>
    <row r="60" spans="1:24" ht="14.1" customHeight="1">
      <c r="A60" s="339"/>
      <c r="B60" s="339"/>
      <c r="C60" s="339"/>
      <c r="D60" s="339"/>
      <c r="E60" s="152" t="str">
        <f>裝船表格!A29</f>
        <v>Completion of loading</v>
      </c>
      <c r="F60" s="152"/>
      <c r="G60" s="152"/>
      <c r="H60" s="152"/>
      <c r="I60" s="152"/>
      <c r="K60" s="216"/>
      <c r="L60" s="216" t="s">
        <v>10</v>
      </c>
      <c r="M60" s="156" t="str">
        <f>裝船表格!J29&amp;" "&amp;裝船表格!M29&amp;" "&amp;TEXT(裝船表格!O29,"mmmm dd, yyyy")</f>
        <v>0400 hrs. April 03, 2024</v>
      </c>
      <c r="N60" s="156"/>
      <c r="O60" s="156"/>
      <c r="P60" s="156"/>
      <c r="Q60" s="156"/>
      <c r="R60" s="156"/>
      <c r="S60" s="156"/>
      <c r="T60" s="156"/>
      <c r="U60" s="156"/>
      <c r="V60" s="156"/>
      <c r="W60" s="156"/>
      <c r="X60" s="156"/>
    </row>
    <row r="61" spans="1:24" ht="14.1" customHeight="1">
      <c r="A61" s="339"/>
      <c r="B61" s="339"/>
      <c r="C61" s="339"/>
      <c r="D61" s="339"/>
      <c r="E61" s="152" t="str">
        <f>裝船表格!A30</f>
        <v>Finished lashing</v>
      </c>
      <c r="F61" s="152"/>
      <c r="G61" s="152"/>
      <c r="H61" s="152"/>
      <c r="I61" s="152"/>
      <c r="K61" s="162"/>
      <c r="L61" s="216" t="s">
        <v>10</v>
      </c>
      <c r="M61" s="156" t="str">
        <f>裝船表格!J30&amp;" "&amp;裝船表格!M30&amp;" "&amp;TEXT(裝船表格!O30,"mmmm dd, yyyy")</f>
        <v>0500 hrs. April 03, 2024</v>
      </c>
      <c r="N61" s="156"/>
      <c r="O61" s="156"/>
      <c r="P61" s="156"/>
      <c r="Q61" s="156"/>
      <c r="R61" s="156"/>
      <c r="S61" s="156"/>
      <c r="T61" s="156"/>
      <c r="U61" s="156"/>
      <c r="V61" s="156"/>
      <c r="W61" s="156"/>
      <c r="X61" s="156"/>
    </row>
    <row r="62" spans="1:24" ht="14.1" customHeight="1">
      <c r="A62" s="339"/>
      <c r="B62" s="339"/>
      <c r="C62" s="339"/>
      <c r="D62" s="339"/>
      <c r="E62" s="152" t="str">
        <f>裝船表格!A31</f>
        <v>Weather</v>
      </c>
      <c r="F62" s="152"/>
      <c r="G62" s="152"/>
      <c r="H62" s="152"/>
      <c r="I62" s="152"/>
      <c r="K62" s="162"/>
      <c r="L62" s="216" t="s">
        <v>10</v>
      </c>
      <c r="M62" s="156" t="str">
        <f>裝船表格!Q31</f>
        <v>Clear and Cloudy</v>
      </c>
    </row>
    <row r="63" spans="1:24" ht="14.1" customHeight="1">
      <c r="A63" s="214"/>
      <c r="B63" s="214"/>
      <c r="C63" s="214"/>
      <c r="D63" s="214"/>
      <c r="E63" s="152" t="str">
        <f>IF(裝船表格!J32="","",裝船表格!A32)</f>
        <v/>
      </c>
      <c r="F63" s="152"/>
      <c r="G63" s="152"/>
      <c r="H63" s="152"/>
      <c r="I63" s="152"/>
      <c r="K63" s="216"/>
      <c r="L63" s="216" t="str">
        <f>IF(裝船表格!J32="","",":")</f>
        <v/>
      </c>
      <c r="M63" s="156" t="str">
        <f>IF(裝船表格!J32="","",裝船表格!J32)</f>
        <v/>
      </c>
    </row>
    <row r="64" spans="1:24" ht="14.1" customHeight="1">
      <c r="A64" s="214"/>
      <c r="B64" s="214"/>
      <c r="C64" s="214"/>
      <c r="D64" s="214"/>
      <c r="E64" s="152" t="str">
        <f>IF(裝船表格!J33="","",裝船表格!A33)</f>
        <v/>
      </c>
      <c r="F64" s="152"/>
      <c r="G64" s="152"/>
      <c r="H64" s="152"/>
      <c r="I64" s="152"/>
      <c r="K64" s="216"/>
      <c r="L64" s="216" t="str">
        <f>IF(裝船表格!J33="","",":")</f>
        <v/>
      </c>
      <c r="M64" s="156" t="str">
        <f>IF(裝船表格!J33="","",裝船表格!J33)</f>
        <v/>
      </c>
    </row>
    <row r="65" spans="1:24" ht="14.1" customHeight="1"/>
    <row r="66" spans="1:24" ht="45" customHeight="1">
      <c r="A66" s="339" t="s">
        <v>88</v>
      </c>
      <c r="B66" s="339"/>
      <c r="C66" s="339"/>
      <c r="D66" s="339"/>
      <c r="E66" s="364" t="str">
        <f>裝船資訊!E33</f>
        <v>The cargo in coils in sound packaging condition was visually inspected on the exterior where accessible alongside the vessel during the entire course of loading, and found to be appeared in general good order, except for Coil No. 07L369B00 partly wrinkled at circumferential packing steel sheet. (Photo No. 18)</v>
      </c>
      <c r="F66" s="364"/>
      <c r="G66" s="364"/>
      <c r="H66" s="364"/>
      <c r="I66" s="364"/>
      <c r="J66" s="364"/>
      <c r="K66" s="364"/>
      <c r="L66" s="364"/>
      <c r="M66" s="364"/>
      <c r="N66" s="364"/>
      <c r="O66" s="364"/>
      <c r="P66" s="364"/>
      <c r="Q66" s="364"/>
      <c r="R66" s="364"/>
      <c r="S66" s="364"/>
      <c r="T66" s="364"/>
      <c r="U66" s="364"/>
      <c r="V66" s="364"/>
      <c r="W66" s="364"/>
      <c r="X66" s="364"/>
    </row>
    <row r="67" spans="1:24" ht="14.1" customHeight="1"/>
    <row r="68" spans="1:24" ht="14.1" customHeight="1">
      <c r="A68" s="153"/>
      <c r="B68" s="153"/>
      <c r="C68" s="153"/>
      <c r="D68" s="154"/>
      <c r="E68" s="371" t="str">
        <f>IF(damage表格!A8="","","Coil No.")</f>
        <v>Coil No.</v>
      </c>
      <c r="F68" s="372"/>
      <c r="G68" s="372"/>
      <c r="H68" s="373"/>
      <c r="I68" s="374" t="str">
        <f>IF(damage表格!A8="","","Findings")</f>
        <v>Findings</v>
      </c>
      <c r="J68" s="375"/>
      <c r="K68" s="375"/>
      <c r="L68" s="375"/>
      <c r="M68" s="375"/>
      <c r="N68" s="375"/>
      <c r="O68" s="375"/>
      <c r="P68" s="375"/>
      <c r="Q68" s="375"/>
      <c r="R68" s="375"/>
      <c r="S68" s="375"/>
      <c r="T68" s="376"/>
      <c r="U68" s="374" t="str">
        <f>IF(damage表格!A8="","","Photo No.")</f>
        <v>Photo No.</v>
      </c>
      <c r="V68" s="375"/>
      <c r="W68" s="375"/>
      <c r="X68" s="376"/>
    </row>
    <row r="69" spans="1:24" ht="14.1" customHeight="1">
      <c r="A69" s="153"/>
      <c r="B69" s="153"/>
      <c r="C69" s="153"/>
      <c r="D69" s="154"/>
      <c r="E69" s="371">
        <f>IF(damage表格!A8="","",damage表格!A8)</f>
        <v>4455599</v>
      </c>
      <c r="F69" s="372"/>
      <c r="G69" s="372"/>
      <c r="H69" s="373"/>
      <c r="I69" s="368" t="str">
        <f>IF(damage表格!E8="","",damage表格!E8)</f>
        <v>Partly broken on outer packing moisture-resistance sheet.</v>
      </c>
      <c r="J69" s="369"/>
      <c r="K69" s="369"/>
      <c r="L69" s="369"/>
      <c r="M69" s="369"/>
      <c r="N69" s="369"/>
      <c r="O69" s="369"/>
      <c r="P69" s="369"/>
      <c r="Q69" s="369"/>
      <c r="R69" s="369"/>
      <c r="S69" s="369"/>
      <c r="T69" s="370"/>
      <c r="U69" s="371" t="str">
        <f>IF(damage表格!R8="","",damage表格!R8)</f>
        <v/>
      </c>
      <c r="V69" s="372"/>
      <c r="W69" s="372"/>
      <c r="X69" s="373"/>
    </row>
    <row r="70" spans="1:24" ht="14.1" customHeight="1">
      <c r="A70" s="153"/>
      <c r="B70" s="153"/>
      <c r="C70" s="153"/>
      <c r="D70" s="154"/>
      <c r="E70" s="371">
        <f>IF(damage表格!A9="","",damage表格!A9)</f>
        <v>14414</v>
      </c>
      <c r="F70" s="372"/>
      <c r="G70" s="372"/>
      <c r="H70" s="373"/>
      <c r="I70" s="368" t="str">
        <f>IF(damage表格!E9="","",damage表格!E9)</f>
        <v>Partly broken, bent, wrinkled at one side packing moisture-resistance sheet. Or at one side edge of inner windings.</v>
      </c>
      <c r="J70" s="369"/>
      <c r="K70" s="369"/>
      <c r="L70" s="369"/>
      <c r="M70" s="369"/>
      <c r="N70" s="369"/>
      <c r="O70" s="369"/>
      <c r="P70" s="369"/>
      <c r="Q70" s="369"/>
      <c r="R70" s="369"/>
      <c r="S70" s="369"/>
      <c r="T70" s="370"/>
      <c r="U70" s="371" t="str">
        <f>IF(damage表格!R9="","",damage表格!R9)</f>
        <v/>
      </c>
      <c r="V70" s="372"/>
      <c r="W70" s="372"/>
      <c r="X70" s="373"/>
    </row>
    <row r="71" spans="1:24" ht="14.1" customHeight="1">
      <c r="A71" s="153"/>
      <c r="B71" s="153"/>
      <c r="C71" s="153"/>
      <c r="D71" s="154"/>
      <c r="E71" s="371" t="str">
        <f>IF(damage表格!A10="","",damage表格!A10)</f>
        <v/>
      </c>
      <c r="F71" s="372"/>
      <c r="G71" s="372"/>
      <c r="H71" s="373"/>
      <c r="I71" s="368" t="str">
        <f>IF(damage表格!E10="","",damage表格!E10)</f>
        <v/>
      </c>
      <c r="J71" s="369"/>
      <c r="K71" s="369"/>
      <c r="L71" s="369"/>
      <c r="M71" s="369"/>
      <c r="N71" s="369"/>
      <c r="O71" s="369"/>
      <c r="P71" s="369"/>
      <c r="Q71" s="369"/>
      <c r="R71" s="369"/>
      <c r="S71" s="369"/>
      <c r="T71" s="370"/>
      <c r="U71" s="371" t="str">
        <f>IF(damage表格!R10="","",damage表格!R10)</f>
        <v/>
      </c>
      <c r="V71" s="372"/>
      <c r="W71" s="372"/>
      <c r="X71" s="373"/>
    </row>
    <row r="72" spans="1:24" ht="14.1" customHeight="1">
      <c r="A72" s="153"/>
      <c r="B72" s="153"/>
      <c r="C72" s="153"/>
      <c r="D72" s="154"/>
      <c r="E72" s="371" t="str">
        <f>IF(damage表格!A11="","",damage表格!A11)</f>
        <v/>
      </c>
      <c r="F72" s="372"/>
      <c r="G72" s="372"/>
      <c r="H72" s="373"/>
      <c r="I72" s="368" t="str">
        <f>IF(damage表格!E11="","",damage表格!E11)</f>
        <v/>
      </c>
      <c r="J72" s="369"/>
      <c r="K72" s="369"/>
      <c r="L72" s="369"/>
      <c r="M72" s="369"/>
      <c r="N72" s="369"/>
      <c r="O72" s="369"/>
      <c r="P72" s="369"/>
      <c r="Q72" s="369"/>
      <c r="R72" s="369"/>
      <c r="S72" s="369"/>
      <c r="T72" s="370"/>
      <c r="U72" s="371" t="str">
        <f>IF(damage表格!R11="","",damage表格!R11)</f>
        <v/>
      </c>
      <c r="V72" s="372"/>
      <c r="W72" s="372"/>
      <c r="X72" s="373"/>
    </row>
    <row r="73" spans="1:24" ht="14.1" customHeight="1">
      <c r="A73" s="153"/>
      <c r="B73" s="153"/>
      <c r="C73" s="153"/>
      <c r="D73" s="154"/>
      <c r="E73" s="371" t="str">
        <f>IF(damage表格!A12="","",damage表格!A12)</f>
        <v/>
      </c>
      <c r="F73" s="372"/>
      <c r="G73" s="372"/>
      <c r="H73" s="373"/>
      <c r="I73" s="368" t="str">
        <f>IF(damage表格!E12="","",damage表格!E12)</f>
        <v/>
      </c>
      <c r="J73" s="369"/>
      <c r="K73" s="369"/>
      <c r="L73" s="369"/>
      <c r="M73" s="369"/>
      <c r="N73" s="369"/>
      <c r="O73" s="369"/>
      <c r="P73" s="369"/>
      <c r="Q73" s="369"/>
      <c r="R73" s="369"/>
      <c r="S73" s="369"/>
      <c r="T73" s="370"/>
      <c r="U73" s="371" t="str">
        <f>IF(damage表格!R12="","",damage表格!R12)</f>
        <v/>
      </c>
      <c r="V73" s="372"/>
      <c r="W73" s="372"/>
      <c r="X73" s="373"/>
    </row>
    <row r="74" spans="1:24" ht="14.1" customHeight="1"/>
    <row r="75" spans="1:24" ht="30.6" customHeight="1">
      <c r="A75" s="365" t="str">
        <f>裝船資訊!A38</f>
        <v>QUANTITY
LOADED</v>
      </c>
      <c r="B75" s="365"/>
      <c r="C75" s="365"/>
      <c r="D75" s="365"/>
      <c r="E75" s="364" t="str">
        <f>裝船資訊!E38</f>
        <v>The number of coils loaded into the vessel’s Hold No. 1, 2, 3, 4, 5 was duly tallied to have the outturn results as the below distribution:</v>
      </c>
      <c r="F75" s="364"/>
      <c r="G75" s="364"/>
      <c r="H75" s="364"/>
      <c r="I75" s="364"/>
      <c r="J75" s="364"/>
      <c r="K75" s="364"/>
      <c r="L75" s="364"/>
      <c r="M75" s="364"/>
      <c r="N75" s="364"/>
      <c r="O75" s="364"/>
      <c r="P75" s="364"/>
      <c r="Q75" s="364"/>
      <c r="R75" s="364"/>
      <c r="S75" s="364"/>
      <c r="T75" s="364"/>
      <c r="U75" s="364"/>
      <c r="V75" s="364"/>
      <c r="W75" s="364"/>
      <c r="X75" s="364"/>
    </row>
    <row r="76" spans="1:24" ht="14.1" customHeight="1"/>
    <row r="77" spans="1:24" ht="14.1" customHeight="1"/>
    <row r="78" spans="1:24" ht="14.1" customHeight="1"/>
    <row r="79" spans="1:24" ht="14.1" customHeight="1"/>
    <row r="80" spans="1:24" ht="14.1" customHeight="1"/>
    <row r="81" spans="1:21" ht="14.1" customHeight="1"/>
    <row r="82" spans="1:21" ht="14.1" customHeight="1"/>
    <row r="83" spans="1:21" ht="14.1" customHeight="1"/>
    <row r="84" spans="1:21" ht="14.1" customHeight="1"/>
    <row r="85" spans="1:21" ht="14.1" customHeight="1"/>
    <row r="86" spans="1:21" ht="14.1" customHeight="1"/>
    <row r="87" spans="1:21" ht="14.1" customHeight="1"/>
    <row r="88" spans="1:21" ht="14.1" customHeight="1"/>
    <row r="89" spans="1:21" ht="14.1" customHeight="1">
      <c r="A89" s="153"/>
      <c r="B89" s="153"/>
      <c r="C89" s="153"/>
      <c r="D89" s="153"/>
      <c r="E89" s="155" t="str">
        <f>IF(裝船資訊!A8="","",裝船資訊!A8)</f>
        <v/>
      </c>
      <c r="F89" s="155"/>
      <c r="G89" s="155"/>
      <c r="H89" s="155"/>
      <c r="I89" s="155"/>
      <c r="J89" s="197" t="str">
        <f>IF(裝船資訊!F8="","",裝船資訊!F8)</f>
        <v/>
      </c>
      <c r="K89" s="197"/>
      <c r="L89" s="197"/>
      <c r="M89" s="197"/>
      <c r="N89" s="197"/>
      <c r="O89" s="197"/>
      <c r="P89" s="155"/>
      <c r="Q89" s="198" t="str">
        <f>IF(裝船資訊!M8="","",裝船資訊!M8)</f>
        <v/>
      </c>
      <c r="R89" s="198"/>
      <c r="S89" s="198"/>
      <c r="T89" s="198"/>
      <c r="U89" s="198"/>
    </row>
    <row r="90" spans="1:21" ht="14.1" hidden="1" customHeight="1">
      <c r="A90" s="153"/>
      <c r="B90" s="153"/>
      <c r="C90" s="153"/>
      <c r="D90" s="153"/>
      <c r="E90" s="155" t="str">
        <f>IF(裝船資訊!A9="","",裝船資訊!A9)</f>
        <v/>
      </c>
      <c r="F90" s="155"/>
      <c r="G90" s="155"/>
      <c r="H90" s="155"/>
      <c r="I90" s="155"/>
      <c r="J90" s="197" t="str">
        <f>IF(裝船資訊!F9="","",裝船資訊!F9)</f>
        <v/>
      </c>
      <c r="K90" s="197"/>
      <c r="L90" s="197"/>
      <c r="M90" s="197"/>
      <c r="N90" s="197"/>
      <c r="O90" s="197"/>
      <c r="P90" s="155"/>
      <c r="Q90" s="198" t="str">
        <f>IF(裝船資訊!M9="","",裝船資訊!M9)</f>
        <v/>
      </c>
      <c r="R90" s="198"/>
      <c r="S90" s="198"/>
      <c r="T90" s="198"/>
      <c r="U90" s="198"/>
    </row>
    <row r="91" spans="1:21" ht="14.1" hidden="1" customHeight="1">
      <c r="A91" s="153"/>
      <c r="B91" s="153"/>
      <c r="C91" s="153"/>
      <c r="D91" s="153"/>
      <c r="E91" s="155" t="str">
        <f>IF(裝船資訊!A10="","",裝船資訊!A10)</f>
        <v/>
      </c>
      <c r="F91" s="155"/>
      <c r="G91" s="155"/>
      <c r="H91" s="155"/>
      <c r="I91" s="155"/>
      <c r="J91" s="197" t="str">
        <f>IF(裝船資訊!F10="","",裝船資訊!F10)</f>
        <v/>
      </c>
      <c r="K91" s="197"/>
      <c r="L91" s="197"/>
      <c r="M91" s="197"/>
      <c r="N91" s="197"/>
      <c r="O91" s="197"/>
      <c r="P91" s="155"/>
      <c r="Q91" s="198" t="str">
        <f>IF(裝船資訊!M10="","",裝船資訊!M10)</f>
        <v/>
      </c>
      <c r="R91" s="198"/>
      <c r="S91" s="198"/>
      <c r="T91" s="198"/>
      <c r="U91" s="198"/>
    </row>
    <row r="92" spans="1:21" ht="14.1" hidden="1" customHeight="1">
      <c r="A92" s="153"/>
      <c r="B92" s="153"/>
      <c r="C92" s="153"/>
      <c r="D92" s="153"/>
      <c r="E92" s="155" t="str">
        <f>IF(裝船資訊!A11="","",裝船資訊!A11)</f>
        <v>GENERAL</v>
      </c>
      <c r="F92" s="155"/>
      <c r="G92" s="155"/>
      <c r="H92" s="155"/>
      <c r="I92" s="155"/>
      <c r="J92" s="197" t="str">
        <f>IF(裝船資訊!F11="","",裝船資訊!F11)</f>
        <v/>
      </c>
      <c r="K92" s="197"/>
      <c r="L92" s="197"/>
      <c r="M92" s="197"/>
      <c r="N92" s="197"/>
      <c r="O92" s="197"/>
      <c r="P92" s="155"/>
      <c r="Q92" s="198" t="str">
        <f>IF(裝船資訊!M11="","",裝船資訊!M11)</f>
        <v/>
      </c>
      <c r="R92" s="198"/>
      <c r="S92" s="198"/>
      <c r="T92" s="198"/>
      <c r="U92" s="198"/>
    </row>
    <row r="93" spans="1:21" ht="14.1" hidden="1" customHeight="1">
      <c r="A93" s="153"/>
      <c r="B93" s="153"/>
      <c r="C93" s="153"/>
      <c r="D93" s="153"/>
      <c r="E93" s="155" t="str">
        <f>IF(裝船資訊!A12="","",裝船資訊!A12)</f>
        <v/>
      </c>
      <c r="F93" s="155"/>
      <c r="G93" s="155"/>
      <c r="H93" s="155"/>
      <c r="I93" s="155"/>
      <c r="J93" s="197" t="str">
        <f>IF(裝船資訊!F12="","",裝船資訊!F12)</f>
        <v/>
      </c>
      <c r="K93" s="197"/>
      <c r="L93" s="197"/>
      <c r="M93" s="197"/>
      <c r="N93" s="197"/>
      <c r="O93" s="197"/>
      <c r="P93" s="155"/>
      <c r="Q93" s="198" t="str">
        <f>IF(裝船資訊!M12="","",裝船資訊!M12)</f>
        <v/>
      </c>
      <c r="R93" s="198"/>
      <c r="S93" s="198"/>
      <c r="T93" s="198"/>
      <c r="U93" s="198"/>
    </row>
    <row r="94" spans="1:21" ht="14.1" hidden="1" customHeight="1">
      <c r="A94" s="153"/>
      <c r="B94" s="153"/>
      <c r="C94" s="153"/>
      <c r="D94" s="153"/>
      <c r="E94" s="155" t="str">
        <f>IF(裝船資訊!A13="","",裝船資訊!A13)</f>
        <v>HATCH
COVER</v>
      </c>
      <c r="F94" s="155"/>
      <c r="G94" s="155"/>
      <c r="H94" s="155"/>
      <c r="I94" s="155"/>
      <c r="J94" s="197" t="str">
        <f>IF(裝船資訊!F13="","",裝船資訊!F13)</f>
        <v/>
      </c>
      <c r="K94" s="197"/>
      <c r="L94" s="197"/>
      <c r="M94" s="197"/>
      <c r="N94" s="197"/>
      <c r="O94" s="197"/>
      <c r="P94" s="155"/>
      <c r="Q94" s="198" t="str">
        <f>IF(裝船資訊!M13="","",裝船資訊!M13)</f>
        <v/>
      </c>
      <c r="R94" s="198"/>
      <c r="S94" s="198"/>
      <c r="T94" s="198"/>
      <c r="U94" s="198"/>
    </row>
    <row r="95" spans="1:21" ht="14.1" hidden="1" customHeight="1">
      <c r="A95" s="153"/>
      <c r="B95" s="153"/>
      <c r="C95" s="153"/>
      <c r="D95" s="153"/>
      <c r="E95" s="155" t="str">
        <f>IF(裝船資訊!A15="","",裝船資訊!A15)</f>
        <v>CARGO
HOLD</v>
      </c>
      <c r="F95" s="155"/>
      <c r="G95" s="155"/>
      <c r="H95" s="155"/>
      <c r="I95" s="155"/>
      <c r="J95" s="197" t="str">
        <f>IF(裝船資訊!F15="","",裝船資訊!F15)</f>
        <v/>
      </c>
      <c r="K95" s="197"/>
      <c r="L95" s="197"/>
      <c r="M95" s="197"/>
      <c r="N95" s="197"/>
      <c r="O95" s="197"/>
      <c r="P95" s="155"/>
      <c r="Q95" s="198" t="str">
        <f>IF(裝船資訊!M15="","",裝船資訊!M15)</f>
        <v/>
      </c>
      <c r="R95" s="198"/>
      <c r="S95" s="198"/>
      <c r="T95" s="198"/>
      <c r="U95" s="198"/>
    </row>
    <row r="96" spans="1:21" ht="14.1" hidden="1" customHeight="1">
      <c r="A96" s="153"/>
      <c r="B96" s="153"/>
      <c r="C96" s="153"/>
      <c r="D96" s="153"/>
      <c r="E96" s="155" t="str">
        <f>IF(裝船資訊!A16="","",裝船資訊!A16)</f>
        <v/>
      </c>
      <c r="F96" s="155"/>
      <c r="G96" s="155"/>
      <c r="H96" s="155"/>
      <c r="I96" s="155"/>
      <c r="J96" s="197" t="str">
        <f>IF(裝船資訊!F16="","",裝船資訊!F16)</f>
        <v/>
      </c>
      <c r="K96" s="197"/>
      <c r="L96" s="197"/>
      <c r="M96" s="197"/>
      <c r="N96" s="197"/>
      <c r="O96" s="197"/>
      <c r="P96" s="155"/>
      <c r="Q96" s="198" t="str">
        <f>IF(裝船資訊!M16="","",裝船資訊!M16)</f>
        <v/>
      </c>
      <c r="R96" s="198"/>
      <c r="S96" s="198"/>
      <c r="T96" s="198"/>
      <c r="U96" s="198"/>
    </row>
    <row r="97" spans="1:21" ht="14.1" hidden="1" customHeight="1">
      <c r="A97" s="153"/>
      <c r="B97" s="153"/>
      <c r="C97" s="153"/>
      <c r="D97" s="153"/>
      <c r="E97" s="155" t="str">
        <f>IF(裝船資訊!A17="","",裝船資訊!A17)</f>
        <v>GODOWN</v>
      </c>
      <c r="F97" s="155"/>
      <c r="G97" s="155"/>
      <c r="H97" s="155"/>
      <c r="I97" s="155"/>
      <c r="J97" s="197" t="str">
        <f>IF(裝船資訊!F17="","",裝船資訊!F17)</f>
        <v/>
      </c>
      <c r="K97" s="197"/>
      <c r="L97" s="197"/>
      <c r="M97" s="197"/>
      <c r="N97" s="197"/>
      <c r="O97" s="197"/>
      <c r="P97" s="155"/>
      <c r="Q97" s="198" t="str">
        <f>IF(裝船資訊!M17="","",裝船資訊!M17)</f>
        <v/>
      </c>
      <c r="R97" s="198"/>
      <c r="S97" s="198"/>
      <c r="T97" s="198"/>
      <c r="U97" s="198"/>
    </row>
    <row r="98" spans="1:21" ht="14.1" hidden="1" customHeight="1">
      <c r="A98" s="153"/>
      <c r="B98" s="153"/>
      <c r="C98" s="153"/>
      <c r="D98" s="153"/>
      <c r="E98" s="155" t="str">
        <f>IF(裝船資訊!A18="","",裝船資訊!A18)</f>
        <v/>
      </c>
      <c r="F98" s="155"/>
      <c r="G98" s="155"/>
      <c r="H98" s="155"/>
      <c r="I98" s="155"/>
      <c r="J98" s="197" t="str">
        <f>IF(裝船資訊!F18="","",裝船資訊!F18)</f>
        <v/>
      </c>
      <c r="K98" s="197"/>
      <c r="L98" s="197"/>
      <c r="M98" s="197"/>
      <c r="N98" s="197"/>
      <c r="O98" s="197"/>
      <c r="P98" s="155"/>
      <c r="Q98" s="198" t="str">
        <f>IF(裝船資訊!M18="","",裝船資訊!M18)</f>
        <v/>
      </c>
      <c r="R98" s="198"/>
      <c r="S98" s="198"/>
      <c r="T98" s="198"/>
      <c r="U98" s="198"/>
    </row>
    <row r="99" spans="1:21" ht="14.1" hidden="1" customHeight="1">
      <c r="A99" s="153"/>
      <c r="B99" s="153"/>
      <c r="C99" s="153"/>
      <c r="D99" s="153"/>
      <c r="E99" s="155" t="str">
        <f>IF(裝船資訊!A19="","",裝船資訊!A19)</f>
        <v>LOADING</v>
      </c>
      <c r="F99" s="155"/>
      <c r="G99" s="155"/>
      <c r="H99" s="155"/>
      <c r="I99" s="155"/>
      <c r="J99" s="197" t="str">
        <f>IF(裝船資訊!F19="","",裝船資訊!F19)</f>
        <v/>
      </c>
      <c r="K99" s="197"/>
      <c r="L99" s="197"/>
      <c r="M99" s="197"/>
      <c r="N99" s="197"/>
      <c r="O99" s="197"/>
      <c r="P99" s="155"/>
      <c r="Q99" s="198" t="str">
        <f>IF(裝船資訊!M19="","",裝船資訊!M19)</f>
        <v/>
      </c>
      <c r="R99" s="198"/>
      <c r="S99" s="198"/>
      <c r="T99" s="198"/>
      <c r="U99" s="198"/>
    </row>
    <row r="100" spans="1:21" ht="14.1" hidden="1" customHeight="1">
      <c r="A100" s="153"/>
      <c r="B100" s="153"/>
      <c r="C100" s="153"/>
      <c r="D100" s="153"/>
      <c r="E100" s="155" t="str">
        <f>IF(裝船資訊!A20="","",裝船資訊!A20)</f>
        <v/>
      </c>
      <c r="F100" s="155"/>
      <c r="G100" s="155"/>
      <c r="H100" s="155"/>
      <c r="I100" s="155"/>
      <c r="J100" s="197" t="str">
        <f>IF(裝船資訊!F20="","",裝船資訊!F20)</f>
        <v/>
      </c>
      <c r="K100" s="197"/>
      <c r="L100" s="197"/>
      <c r="M100" s="197"/>
      <c r="N100" s="197"/>
      <c r="O100" s="197"/>
      <c r="P100" s="155"/>
      <c r="Q100" s="198" t="str">
        <f>IF(裝船資訊!M20="","",裝船資訊!M20)</f>
        <v/>
      </c>
      <c r="R100" s="198"/>
      <c r="S100" s="198"/>
      <c r="T100" s="198"/>
      <c r="U100" s="198"/>
    </row>
    <row r="101" spans="1:21" ht="14.1" hidden="1" customHeight="1">
      <c r="A101" s="153"/>
      <c r="B101" s="153"/>
      <c r="C101" s="153"/>
      <c r="D101" s="153"/>
      <c r="E101" s="155" t="str">
        <f>IF(裝船資訊!A33="","",裝船資訊!A33)</f>
        <v>INSPECTION</v>
      </c>
      <c r="F101" s="155"/>
      <c r="G101" s="155"/>
      <c r="H101" s="155"/>
      <c r="I101" s="155"/>
      <c r="J101" s="197" t="str">
        <f>IF(裝船資訊!F21="","",裝船資訊!F21)</f>
        <v/>
      </c>
      <c r="K101" s="197"/>
      <c r="L101" s="197"/>
      <c r="M101" s="197"/>
      <c r="N101" s="197"/>
      <c r="O101" s="197"/>
      <c r="P101" s="155"/>
      <c r="Q101" s="198" t="str">
        <f>IF(裝船資訊!M21="","",裝船資訊!M21)</f>
        <v/>
      </c>
      <c r="R101" s="198"/>
      <c r="S101" s="198"/>
      <c r="T101" s="198"/>
      <c r="U101" s="198"/>
    </row>
    <row r="102" spans="1:21" ht="14.1" hidden="1" customHeight="1">
      <c r="A102" s="153"/>
      <c r="B102" s="153"/>
      <c r="C102" s="153"/>
      <c r="D102" s="153"/>
      <c r="E102" s="155" t="str">
        <f>IF(裝船資訊!A22="","",裝船資訊!A22)</f>
        <v/>
      </c>
      <c r="F102" s="155"/>
      <c r="G102" s="155"/>
      <c r="H102" s="155"/>
      <c r="I102" s="155"/>
      <c r="J102" s="197" t="str">
        <f>IF(裝船資訊!F22="","",裝船資訊!F22)</f>
        <v/>
      </c>
      <c r="K102" s="197"/>
      <c r="L102" s="197"/>
      <c r="M102" s="197"/>
      <c r="N102" s="197"/>
      <c r="O102" s="197"/>
      <c r="P102" s="155"/>
      <c r="Q102" s="198" t="str">
        <f>IF(裝船資訊!M22="","",裝船資訊!M22)</f>
        <v/>
      </c>
      <c r="R102" s="198"/>
      <c r="S102" s="198"/>
      <c r="T102" s="198"/>
      <c r="U102" s="198"/>
    </row>
    <row r="103" spans="1:21" ht="14.1" hidden="1" customHeight="1">
      <c r="A103" s="153"/>
      <c r="B103" s="153"/>
      <c r="C103" s="153"/>
      <c r="D103" s="153"/>
      <c r="E103" s="155" t="str">
        <f>IF(裝船資訊!A23="","",裝船資訊!A23)</f>
        <v/>
      </c>
      <c r="F103" s="155"/>
      <c r="G103" s="155"/>
      <c r="H103" s="155"/>
      <c r="I103" s="155"/>
      <c r="J103" s="197" t="str">
        <f>IF(裝船資訊!F23="","",裝船資訊!F23)</f>
        <v/>
      </c>
      <c r="K103" s="197"/>
      <c r="L103" s="197"/>
      <c r="M103" s="197"/>
      <c r="N103" s="197"/>
      <c r="O103" s="197"/>
      <c r="P103" s="155"/>
      <c r="Q103" s="198" t="str">
        <f>IF(裝船資訊!M23="","",裝船資訊!M23)</f>
        <v/>
      </c>
      <c r="R103" s="198"/>
      <c r="S103" s="198"/>
      <c r="T103" s="198"/>
      <c r="U103" s="198"/>
    </row>
    <row r="104" spans="1:21" ht="14.1" hidden="1" customHeight="1">
      <c r="A104" s="153"/>
      <c r="B104" s="153"/>
      <c r="C104" s="153"/>
      <c r="D104" s="153"/>
      <c r="E104" s="155" t="str">
        <f>IF(裝船資訊!A24="","",裝船資訊!A24)</f>
        <v/>
      </c>
      <c r="F104" s="155"/>
      <c r="G104" s="155"/>
      <c r="H104" s="155"/>
      <c r="I104" s="155"/>
      <c r="J104" s="197" t="str">
        <f>IF(裝船資訊!F24="","",裝船資訊!F24)</f>
        <v/>
      </c>
      <c r="K104" s="197"/>
      <c r="L104" s="197"/>
      <c r="M104" s="197"/>
      <c r="N104" s="197"/>
      <c r="O104" s="197"/>
      <c r="P104" s="155"/>
      <c r="Q104" s="198" t="str">
        <f>IF(裝船資訊!M24="","",裝船資訊!M24)</f>
        <v/>
      </c>
      <c r="R104" s="198"/>
      <c r="S104" s="198"/>
      <c r="T104" s="198"/>
      <c r="U104" s="198"/>
    </row>
    <row r="105" spans="1:21" ht="14.1" hidden="1" customHeight="1">
      <c r="A105" s="153"/>
      <c r="B105" s="153"/>
      <c r="C105" s="153"/>
      <c r="D105" s="153"/>
      <c r="E105" s="155" t="str">
        <f>IF(裝船資訊!A25="","",裝船資訊!A25)</f>
        <v/>
      </c>
      <c r="F105" s="155"/>
      <c r="G105" s="155"/>
      <c r="H105" s="155"/>
      <c r="I105" s="155"/>
      <c r="J105" s="197" t="str">
        <f>IF(裝船資訊!F25="","",裝船資訊!F25)</f>
        <v/>
      </c>
      <c r="K105" s="197"/>
      <c r="L105" s="197"/>
      <c r="M105" s="197"/>
      <c r="N105" s="197"/>
      <c r="O105" s="197"/>
      <c r="P105" s="155"/>
      <c r="Q105" s="198" t="str">
        <f>IF(裝船資訊!M25="","",裝船資訊!M25)</f>
        <v/>
      </c>
      <c r="R105" s="198"/>
      <c r="S105" s="198"/>
      <c r="T105" s="198"/>
      <c r="U105" s="198"/>
    </row>
    <row r="106" spans="1:21" ht="14.1" hidden="1" customHeight="1">
      <c r="A106" s="153"/>
      <c r="B106" s="153"/>
      <c r="C106" s="153"/>
      <c r="D106" s="153"/>
      <c r="E106" s="155" t="str">
        <f>IF(裝船資訊!A26="","",裝船資訊!A26)</f>
        <v/>
      </c>
      <c r="F106" s="155"/>
      <c r="G106" s="155"/>
      <c r="H106" s="155"/>
      <c r="I106" s="155"/>
      <c r="J106" s="197" t="str">
        <f>IF(裝船資訊!F26="","",裝船資訊!F26)</f>
        <v/>
      </c>
      <c r="K106" s="197"/>
      <c r="L106" s="197"/>
      <c r="M106" s="197"/>
      <c r="N106" s="197"/>
      <c r="O106" s="197"/>
      <c r="P106" s="155"/>
      <c r="Q106" s="198" t="str">
        <f>IF(裝船資訊!M26="","",裝船資訊!M26)</f>
        <v/>
      </c>
      <c r="R106" s="198"/>
      <c r="S106" s="198"/>
      <c r="T106" s="198"/>
      <c r="U106" s="198"/>
    </row>
    <row r="107" spans="1:21" ht="14.1" hidden="1" customHeight="1">
      <c r="A107" s="153"/>
      <c r="B107" s="153"/>
      <c r="C107" s="153"/>
      <c r="D107" s="153"/>
      <c r="E107" s="155" t="str">
        <f>IF(裝船資訊!A27="","",裝船資訊!A27)</f>
        <v/>
      </c>
      <c r="F107" s="155"/>
      <c r="G107" s="155"/>
      <c r="H107" s="155"/>
      <c r="I107" s="155"/>
      <c r="J107" s="197" t="str">
        <f>IF(裝船資訊!F27="","",裝船資訊!F27)</f>
        <v/>
      </c>
      <c r="K107" s="197"/>
      <c r="L107" s="197"/>
      <c r="M107" s="197"/>
      <c r="N107" s="197"/>
      <c r="O107" s="197"/>
      <c r="P107" s="155"/>
      <c r="Q107" s="198" t="str">
        <f>IF(裝船資訊!M27="","",裝船資訊!M27)</f>
        <v/>
      </c>
      <c r="R107" s="198"/>
      <c r="S107" s="198"/>
      <c r="T107" s="198"/>
      <c r="U107" s="198"/>
    </row>
    <row r="108" spans="1:21" ht="14.1" hidden="1" customHeight="1">
      <c r="A108" s="153"/>
      <c r="B108" s="153"/>
      <c r="C108" s="153"/>
      <c r="D108" s="153"/>
      <c r="E108" s="155" t="str">
        <f>IF(裝船資訊!A28="","",裝船資訊!A28)</f>
        <v/>
      </c>
      <c r="F108" s="155"/>
      <c r="G108" s="155"/>
      <c r="H108" s="155"/>
      <c r="I108" s="155"/>
      <c r="J108" s="197" t="str">
        <f>IF(裝船資訊!F28="","",裝船資訊!F28)</f>
        <v/>
      </c>
      <c r="K108" s="197"/>
      <c r="L108" s="197"/>
      <c r="M108" s="197"/>
      <c r="N108" s="197"/>
      <c r="O108" s="197"/>
      <c r="P108" s="155"/>
      <c r="Q108" s="198" t="str">
        <f>IF(裝船資訊!M28="","",裝船資訊!M28)</f>
        <v/>
      </c>
      <c r="R108" s="198"/>
      <c r="S108" s="198"/>
      <c r="T108" s="198"/>
      <c r="U108" s="198"/>
    </row>
    <row r="109" spans="1:21" ht="14.1" hidden="1" customHeight="1">
      <c r="A109" s="153"/>
      <c r="B109" s="153"/>
      <c r="C109" s="153"/>
      <c r="D109" s="153"/>
      <c r="E109" s="155" t="str">
        <f>IF(裝船資訊!A29="","",裝船資訊!A29)</f>
        <v/>
      </c>
      <c r="F109" s="155"/>
      <c r="G109" s="155"/>
      <c r="H109" s="155"/>
      <c r="I109" s="155"/>
      <c r="J109" s="197" t="str">
        <f>IF(裝船資訊!F29="","",裝船資訊!F29)</f>
        <v/>
      </c>
      <c r="K109" s="197"/>
      <c r="L109" s="197"/>
      <c r="M109" s="197"/>
      <c r="N109" s="197"/>
      <c r="O109" s="197"/>
      <c r="P109" s="155"/>
      <c r="Q109" s="198" t="str">
        <f>IF(裝船資訊!M29="","",裝船資訊!M29)</f>
        <v/>
      </c>
      <c r="R109" s="198"/>
      <c r="S109" s="198"/>
      <c r="T109" s="198"/>
      <c r="U109" s="198"/>
    </row>
    <row r="110" spans="1:21" ht="14.1" hidden="1" customHeight="1">
      <c r="A110" s="153"/>
      <c r="B110" s="153"/>
      <c r="C110" s="153"/>
      <c r="D110" s="153"/>
      <c r="E110" s="155" t="str">
        <f>IF(裝船資訊!A30="","",裝船資訊!A30)</f>
        <v/>
      </c>
      <c r="F110" s="155"/>
      <c r="G110" s="155"/>
      <c r="H110" s="155"/>
      <c r="I110" s="155"/>
      <c r="J110" s="197" t="str">
        <f>IF(裝船資訊!F30="","",裝船資訊!F30)</f>
        <v/>
      </c>
      <c r="K110" s="197"/>
      <c r="L110" s="197"/>
      <c r="M110" s="197"/>
      <c r="N110" s="197"/>
      <c r="O110" s="197"/>
      <c r="P110" s="155"/>
      <c r="Q110" s="198" t="str">
        <f>IF(裝船資訊!M30="","",裝船資訊!M30)</f>
        <v/>
      </c>
      <c r="R110" s="198"/>
      <c r="S110" s="198"/>
      <c r="T110" s="198"/>
      <c r="U110" s="198"/>
    </row>
    <row r="111" spans="1:21" ht="14.1" hidden="1" customHeight="1">
      <c r="A111" s="153"/>
      <c r="B111" s="153"/>
      <c r="C111" s="153"/>
      <c r="D111" s="153"/>
      <c r="E111" s="155" t="e">
        <f>IF(裝船資訊!#REF!="","",裝船資訊!#REF!)</f>
        <v>#REF!</v>
      </c>
      <c r="F111" s="155"/>
      <c r="G111" s="155"/>
      <c r="H111" s="155"/>
      <c r="I111" s="155"/>
      <c r="J111" s="197" t="str">
        <f>IF(裝船資訊!F31="","",裝船資訊!F31)</f>
        <v/>
      </c>
      <c r="K111" s="197"/>
      <c r="L111" s="197"/>
      <c r="M111" s="197"/>
      <c r="N111" s="197"/>
      <c r="O111" s="197"/>
      <c r="P111" s="155"/>
      <c r="Q111" s="198" t="str">
        <f>IF(裝船資訊!M31="","",裝船資訊!M31)</f>
        <v/>
      </c>
      <c r="R111" s="198"/>
      <c r="S111" s="198"/>
      <c r="T111" s="198"/>
      <c r="U111" s="198"/>
    </row>
    <row r="112" spans="1:21" ht="14.1" hidden="1" customHeight="1">
      <c r="A112" s="153"/>
      <c r="B112" s="153"/>
      <c r="C112" s="153"/>
      <c r="D112" s="153"/>
      <c r="E112" s="155" t="str">
        <f>IF(裝船資訊!A32="","",裝船資訊!A32)</f>
        <v/>
      </c>
      <c r="F112" s="155"/>
      <c r="G112" s="155"/>
      <c r="H112" s="155"/>
      <c r="I112" s="155"/>
      <c r="J112" s="197" t="str">
        <f>IF(裝船資訊!F32="","",裝船資訊!F32)</f>
        <v/>
      </c>
      <c r="K112" s="197"/>
      <c r="L112" s="197"/>
      <c r="M112" s="197"/>
      <c r="N112" s="197"/>
      <c r="O112" s="197"/>
      <c r="P112" s="155"/>
      <c r="Q112" s="198" t="str">
        <f>IF(裝船資訊!M32="","",裝船資訊!M32)</f>
        <v/>
      </c>
      <c r="R112" s="198"/>
      <c r="S112" s="198"/>
      <c r="T112" s="198"/>
      <c r="U112" s="198"/>
    </row>
    <row r="113" spans="1:21" ht="14.1" hidden="1" customHeight="1">
      <c r="A113" s="153"/>
      <c r="B113" s="153"/>
      <c r="C113" s="153"/>
      <c r="D113" s="153"/>
      <c r="E113" s="155" t="e">
        <f>IF(裝船資訊!#REF!="","",裝船資訊!#REF!)</f>
        <v>#REF!</v>
      </c>
      <c r="F113" s="155"/>
      <c r="G113" s="155"/>
      <c r="H113" s="155"/>
      <c r="I113" s="155"/>
      <c r="J113" s="197" t="str">
        <f>IF(裝船資訊!F33="","",裝船資訊!F33)</f>
        <v/>
      </c>
      <c r="K113" s="197"/>
      <c r="L113" s="197"/>
      <c r="M113" s="197"/>
      <c r="N113" s="197"/>
      <c r="O113" s="197"/>
      <c r="P113" s="155"/>
      <c r="Q113" s="198" t="str">
        <f>IF(裝船資訊!M33="","",裝船資訊!M33)</f>
        <v/>
      </c>
      <c r="R113" s="198"/>
      <c r="S113" s="198"/>
      <c r="T113" s="198"/>
      <c r="U113" s="198"/>
    </row>
    <row r="114" spans="1:21" ht="14.1" hidden="1" customHeight="1">
      <c r="A114" s="153"/>
      <c r="B114" s="153"/>
      <c r="C114" s="153"/>
      <c r="D114" s="153"/>
      <c r="E114" s="155" t="str">
        <f>IF(裝船資訊!A34="","",裝船資訊!A34)</f>
        <v/>
      </c>
      <c r="F114" s="155"/>
      <c r="G114" s="155"/>
      <c r="H114" s="155"/>
      <c r="I114" s="155"/>
      <c r="J114" s="197" t="str">
        <f>IF(裝船資訊!F34="","",裝船資訊!F34)</f>
        <v/>
      </c>
      <c r="K114" s="197"/>
      <c r="L114" s="197"/>
      <c r="M114" s="197"/>
      <c r="N114" s="197"/>
      <c r="O114" s="197"/>
      <c r="P114" s="155"/>
      <c r="Q114" s="198" t="str">
        <f>IF(裝船資訊!M34="","",裝船資訊!M34)</f>
        <v/>
      </c>
      <c r="R114" s="198"/>
      <c r="S114" s="198"/>
      <c r="T114" s="198"/>
      <c r="U114" s="198"/>
    </row>
    <row r="115" spans="1:21" ht="14.1" hidden="1" customHeight="1">
      <c r="A115" s="153"/>
      <c r="B115" s="153"/>
      <c r="C115" s="153"/>
      <c r="D115" s="153"/>
      <c r="E115" s="155" t="str">
        <f>IF(裝船資訊!A35="","",裝船資訊!A35)</f>
        <v/>
      </c>
      <c r="F115" s="155"/>
      <c r="G115" s="155"/>
      <c r="H115" s="155"/>
      <c r="I115" s="155"/>
      <c r="J115" s="197" t="str">
        <f>IF(裝船資訊!F35="","",裝船資訊!F35)</f>
        <v/>
      </c>
      <c r="K115" s="197"/>
      <c r="L115" s="197"/>
      <c r="M115" s="197"/>
      <c r="N115" s="197"/>
      <c r="O115" s="197"/>
      <c r="P115" s="155"/>
      <c r="Q115" s="198" t="str">
        <f>IF(裝船資訊!M35="","",裝船資訊!M35)</f>
        <v/>
      </c>
      <c r="R115" s="198"/>
      <c r="S115" s="198"/>
      <c r="T115" s="198"/>
      <c r="U115" s="198"/>
    </row>
    <row r="116" spans="1:21" ht="14.1" hidden="1" customHeight="1">
      <c r="A116" s="153"/>
      <c r="B116" s="153"/>
      <c r="C116" s="153"/>
      <c r="D116" s="153"/>
      <c r="E116" s="155" t="str">
        <f>IF(裝船資訊!A36="","",裝船資訊!A36)</f>
        <v/>
      </c>
      <c r="F116" s="155"/>
      <c r="G116" s="155"/>
      <c r="H116" s="155"/>
      <c r="I116" s="155"/>
      <c r="J116" s="197" t="str">
        <f>IF(裝船資訊!F36="","",裝船資訊!F36)</f>
        <v/>
      </c>
      <c r="K116" s="197"/>
      <c r="L116" s="197"/>
      <c r="M116" s="197"/>
      <c r="N116" s="197"/>
      <c r="O116" s="197"/>
      <c r="P116" s="155"/>
      <c r="Q116" s="198" t="str">
        <f>IF(裝船資訊!M36="","",裝船資訊!M36)</f>
        <v/>
      </c>
      <c r="R116" s="198"/>
      <c r="S116" s="198"/>
      <c r="T116" s="198"/>
      <c r="U116" s="198"/>
    </row>
    <row r="117" spans="1:21" ht="14.1" hidden="1" customHeight="1">
      <c r="A117" s="153"/>
      <c r="B117" s="153"/>
      <c r="C117" s="153"/>
      <c r="D117" s="153"/>
      <c r="E117" s="155" t="str">
        <f>IF(裝船資訊!A37="","",裝船資訊!A37)</f>
        <v/>
      </c>
      <c r="F117" s="155"/>
      <c r="G117" s="155"/>
      <c r="H117" s="155"/>
      <c r="I117" s="155"/>
      <c r="J117" s="197" t="str">
        <f>IF(裝船資訊!F37="","",裝船資訊!F37)</f>
        <v/>
      </c>
      <c r="K117" s="197"/>
      <c r="L117" s="197"/>
      <c r="M117" s="197"/>
      <c r="N117" s="197"/>
      <c r="O117" s="197"/>
      <c r="P117" s="155"/>
      <c r="Q117" s="198" t="str">
        <f>IF(裝船資訊!M37="","",裝船資訊!M37)</f>
        <v/>
      </c>
      <c r="R117" s="198"/>
      <c r="S117" s="198"/>
      <c r="T117" s="198"/>
      <c r="U117" s="198"/>
    </row>
    <row r="118" spans="1:21" ht="14.1" hidden="1" customHeight="1">
      <c r="A118" s="153"/>
      <c r="B118" s="153"/>
      <c r="C118" s="153"/>
      <c r="D118" s="153"/>
      <c r="E118" s="155" t="str">
        <f>IF(裝船資訊!A38="","",裝船資訊!A38)</f>
        <v>QUANTITY
LOADED</v>
      </c>
      <c r="F118" s="155"/>
      <c r="G118" s="155"/>
      <c r="H118" s="155"/>
      <c r="I118" s="155"/>
      <c r="J118" s="197" t="str">
        <f>IF(裝船資訊!F38="","",裝船資訊!F38)</f>
        <v/>
      </c>
      <c r="K118" s="197"/>
      <c r="L118" s="197"/>
      <c r="M118" s="197"/>
      <c r="N118" s="197"/>
      <c r="O118" s="197"/>
      <c r="P118" s="155"/>
      <c r="Q118" s="198" t="str">
        <f>IF(裝船資訊!M38="","",裝船資訊!M38)</f>
        <v/>
      </c>
      <c r="R118" s="198"/>
      <c r="S118" s="198"/>
      <c r="T118" s="198"/>
      <c r="U118" s="198"/>
    </row>
    <row r="119" spans="1:21" ht="14.1" hidden="1" customHeight="1">
      <c r="A119" s="153"/>
      <c r="B119" s="153"/>
      <c r="C119" s="153"/>
      <c r="D119" s="153"/>
      <c r="E119" s="155" t="str">
        <f>IF(裝船資訊!A39="","",裝船資訊!A39)</f>
        <v/>
      </c>
      <c r="F119" s="155"/>
      <c r="G119" s="155"/>
      <c r="H119" s="155"/>
      <c r="I119" s="155"/>
      <c r="J119" s="197" t="str">
        <f>IF(裝船資訊!F39="","",裝船資訊!F39)</f>
        <v/>
      </c>
      <c r="K119" s="197"/>
      <c r="L119" s="197"/>
      <c r="M119" s="197"/>
      <c r="N119" s="197"/>
      <c r="O119" s="197"/>
      <c r="P119" s="155"/>
      <c r="Q119" s="198" t="str">
        <f>IF(裝船資訊!M39="","",裝船資訊!M39)</f>
        <v/>
      </c>
      <c r="R119" s="198"/>
      <c r="S119" s="198"/>
      <c r="T119" s="198"/>
      <c r="U119" s="198"/>
    </row>
    <row r="120" spans="1:21" ht="14.1" hidden="1" customHeight="1">
      <c r="A120" s="153"/>
      <c r="B120" s="153"/>
      <c r="C120" s="153"/>
      <c r="D120" s="153"/>
      <c r="E120" s="155" t="e">
        <f>IF(裝船資訊!#REF!="","",裝船資訊!#REF!)</f>
        <v>#REF!</v>
      </c>
      <c r="F120" s="155"/>
      <c r="G120" s="155"/>
      <c r="H120" s="155"/>
      <c r="I120" s="155"/>
      <c r="J120" s="197" t="str">
        <f>IF(裝船資訊!F40="","",裝船資訊!F40)</f>
        <v/>
      </c>
      <c r="K120" s="197"/>
      <c r="L120" s="197"/>
      <c r="M120" s="197"/>
      <c r="N120" s="197"/>
      <c r="O120" s="197"/>
      <c r="P120" s="155"/>
      <c r="Q120" s="198" t="str">
        <f>IF(裝船資訊!M40="","",裝船資訊!M40)</f>
        <v/>
      </c>
      <c r="R120" s="198"/>
      <c r="S120" s="198"/>
      <c r="T120" s="198"/>
      <c r="U120" s="198"/>
    </row>
    <row r="121" spans="1:21" ht="14.1" hidden="1" customHeight="1">
      <c r="A121" s="153"/>
      <c r="B121" s="153"/>
      <c r="C121" s="153"/>
      <c r="D121" s="153"/>
      <c r="E121" s="155" t="str">
        <f>IF(裝船資訊!A41="","",裝船資訊!A41)</f>
        <v/>
      </c>
      <c r="F121" s="155"/>
      <c r="G121" s="155"/>
      <c r="H121" s="155"/>
      <c r="I121" s="155"/>
      <c r="J121" s="197" t="str">
        <f>IF(裝船資訊!F41="","",裝船資訊!F41)</f>
        <v/>
      </c>
      <c r="K121" s="197"/>
      <c r="L121" s="197"/>
      <c r="M121" s="197"/>
      <c r="N121" s="197"/>
      <c r="O121" s="197"/>
      <c r="P121" s="155"/>
      <c r="Q121" s="198" t="str">
        <f>IF(裝船資訊!M41="","",裝船資訊!M41)</f>
        <v/>
      </c>
      <c r="R121" s="198"/>
      <c r="S121" s="198"/>
      <c r="T121" s="198"/>
      <c r="U121" s="198"/>
    </row>
    <row r="122" spans="1:21" ht="14.1" hidden="1" customHeight="1">
      <c r="A122" s="153"/>
      <c r="B122" s="153"/>
      <c r="C122" s="153"/>
      <c r="D122" s="153"/>
      <c r="E122" s="155" t="str">
        <f>IF(裝船資訊!A42="","",裝船資訊!A42)</f>
        <v/>
      </c>
      <c r="F122" s="155"/>
      <c r="G122" s="155"/>
      <c r="H122" s="155"/>
      <c r="I122" s="155"/>
      <c r="J122" s="197" t="str">
        <f>IF(裝船資訊!F42="","",裝船資訊!F42)</f>
        <v/>
      </c>
      <c r="K122" s="197"/>
      <c r="L122" s="197"/>
      <c r="M122" s="197"/>
      <c r="N122" s="197"/>
      <c r="O122" s="197"/>
      <c r="P122" s="155"/>
      <c r="Q122" s="198" t="str">
        <f>IF(裝船資訊!M42="","",裝船資訊!M42)</f>
        <v/>
      </c>
      <c r="R122" s="198"/>
      <c r="S122" s="198"/>
      <c r="T122" s="198"/>
      <c r="U122" s="198"/>
    </row>
    <row r="123" spans="1:21" ht="14.1" hidden="1" customHeight="1">
      <c r="A123" s="153"/>
      <c r="B123" s="153"/>
      <c r="C123" s="153"/>
      <c r="D123" s="153"/>
      <c r="E123" s="155" t="str">
        <f>IF(裝船資訊!A43="","",裝船資訊!A43)</f>
        <v/>
      </c>
      <c r="F123" s="155"/>
      <c r="G123" s="155"/>
      <c r="H123" s="155"/>
      <c r="I123" s="155"/>
      <c r="J123" s="197" t="str">
        <f>IF(裝船資訊!F43="","",裝船資訊!F43)</f>
        <v/>
      </c>
      <c r="K123" s="197"/>
      <c r="L123" s="197"/>
      <c r="M123" s="197"/>
      <c r="N123" s="197"/>
      <c r="O123" s="197"/>
      <c r="P123" s="155"/>
      <c r="Q123" s="198" t="str">
        <f>IF(裝船資訊!M43="","",裝船資訊!M43)</f>
        <v/>
      </c>
      <c r="R123" s="198"/>
      <c r="S123" s="198"/>
      <c r="T123" s="198"/>
      <c r="U123" s="198"/>
    </row>
    <row r="124" spans="1:21" ht="14.1" hidden="1" customHeight="1">
      <c r="A124" s="153"/>
      <c r="B124" s="153"/>
      <c r="C124" s="153"/>
      <c r="D124" s="153"/>
      <c r="E124" s="155" t="str">
        <f>IF(裝船資訊!A44="","",裝船資訊!A44)</f>
        <v/>
      </c>
      <c r="F124" s="155"/>
      <c r="G124" s="155"/>
      <c r="H124" s="155"/>
      <c r="I124" s="155"/>
      <c r="J124" s="197" t="str">
        <f>IF(裝船資訊!F44="","",裝船資訊!F44)</f>
        <v/>
      </c>
      <c r="K124" s="197"/>
      <c r="L124" s="197"/>
      <c r="M124" s="197"/>
      <c r="N124" s="197"/>
      <c r="O124" s="197"/>
      <c r="P124" s="155"/>
      <c r="Q124" s="198" t="str">
        <f>IF(裝船資訊!M44="","",裝船資訊!M44)</f>
        <v/>
      </c>
      <c r="R124" s="198"/>
      <c r="S124" s="198"/>
      <c r="T124" s="198"/>
      <c r="U124" s="198"/>
    </row>
    <row r="125" spans="1:21" ht="14.1" hidden="1" customHeight="1">
      <c r="A125" s="153"/>
      <c r="B125" s="153"/>
      <c r="C125" s="153"/>
      <c r="D125" s="153"/>
      <c r="E125" s="155" t="str">
        <f>IF(裝船資訊!A45="","",裝船資訊!A45)</f>
        <v/>
      </c>
      <c r="F125" s="155"/>
      <c r="G125" s="155"/>
      <c r="H125" s="155"/>
      <c r="I125" s="155"/>
      <c r="J125" s="197" t="str">
        <f>IF(裝船資訊!F45="","",裝船資訊!F45)</f>
        <v/>
      </c>
      <c r="K125" s="197"/>
      <c r="L125" s="197"/>
      <c r="M125" s="197"/>
      <c r="N125" s="197"/>
      <c r="O125" s="197"/>
      <c r="P125" s="155"/>
      <c r="Q125" s="198" t="str">
        <f>IF(裝船資訊!M45="","",裝船資訊!M45)</f>
        <v/>
      </c>
      <c r="R125" s="198"/>
      <c r="S125" s="198"/>
      <c r="T125" s="198"/>
      <c r="U125" s="198"/>
    </row>
    <row r="126" spans="1:21" ht="14.1" hidden="1" customHeight="1">
      <c r="A126" s="153"/>
      <c r="B126" s="153"/>
      <c r="C126" s="153"/>
      <c r="D126" s="153"/>
      <c r="E126" s="155" t="str">
        <f>IF(裝船資訊!A46="","",裝船資訊!A46)</f>
        <v/>
      </c>
      <c r="F126" s="155"/>
      <c r="G126" s="155"/>
      <c r="H126" s="155"/>
      <c r="I126" s="155"/>
      <c r="J126" s="197" t="str">
        <f>IF(裝船資訊!F46="","",裝船資訊!F46)</f>
        <v/>
      </c>
      <c r="K126" s="197"/>
      <c r="L126" s="197"/>
      <c r="M126" s="197"/>
      <c r="N126" s="197"/>
      <c r="O126" s="197"/>
      <c r="P126" s="155"/>
      <c r="Q126" s="198" t="str">
        <f>IF(裝船資訊!M46="","",裝船資訊!M46)</f>
        <v/>
      </c>
      <c r="R126" s="198"/>
      <c r="S126" s="198"/>
      <c r="T126" s="198"/>
      <c r="U126" s="198"/>
    </row>
    <row r="127" spans="1:21" ht="14.1" hidden="1" customHeight="1">
      <c r="A127" s="153"/>
      <c r="B127" s="153"/>
      <c r="C127" s="153"/>
      <c r="D127" s="153"/>
      <c r="E127" s="155" t="str">
        <f>IF(裝船資訊!A47="","",裝船資訊!A47)</f>
        <v>STOWAGE</v>
      </c>
      <c r="F127" s="155"/>
      <c r="G127" s="155"/>
      <c r="H127" s="155"/>
      <c r="I127" s="155"/>
      <c r="J127" s="197" t="str">
        <f>IF(裝船資訊!F47="","",裝船資訊!F47)</f>
        <v/>
      </c>
      <c r="K127" s="197"/>
      <c r="L127" s="197"/>
      <c r="M127" s="197"/>
      <c r="N127" s="197"/>
      <c r="O127" s="197"/>
      <c r="P127" s="155"/>
      <c r="Q127" s="198" t="str">
        <f>IF(裝船資訊!M47="","",裝船資訊!M47)</f>
        <v/>
      </c>
      <c r="R127" s="198"/>
      <c r="S127" s="198"/>
      <c r="T127" s="198"/>
      <c r="U127" s="198"/>
    </row>
    <row r="128" spans="1:21" ht="14.1" hidden="1" customHeight="1">
      <c r="A128" s="153"/>
      <c r="B128" s="153"/>
      <c r="C128" s="153"/>
      <c r="D128" s="153"/>
      <c r="E128" s="155" t="str">
        <f>IF(裝船資訊!A49="","",裝船資訊!A49)</f>
        <v/>
      </c>
      <c r="F128" s="155"/>
      <c r="G128" s="155"/>
      <c r="H128" s="155"/>
      <c r="I128" s="155"/>
      <c r="J128" s="197" t="str">
        <f>IF(裝船資訊!F49="","",裝船資訊!F49)</f>
        <v/>
      </c>
      <c r="K128" s="197"/>
      <c r="L128" s="197"/>
      <c r="M128" s="197"/>
      <c r="N128" s="197"/>
      <c r="O128" s="197"/>
      <c r="P128" s="155"/>
      <c r="Q128" s="198" t="str">
        <f>IF(裝船資訊!M49="","",裝船資訊!M49)</f>
        <v/>
      </c>
      <c r="R128" s="198"/>
      <c r="S128" s="198"/>
      <c r="T128" s="198"/>
      <c r="U128" s="198"/>
    </row>
    <row r="129" spans="1:21" ht="14.1" hidden="1" customHeight="1">
      <c r="A129" s="153"/>
      <c r="B129" s="153"/>
      <c r="C129" s="153"/>
      <c r="D129" s="153"/>
      <c r="E129" s="155" t="str">
        <f>IF(裝船資訊!A50="","",裝船資訊!A50)</f>
        <v/>
      </c>
      <c r="F129" s="155"/>
      <c r="G129" s="155"/>
      <c r="H129" s="155"/>
      <c r="I129" s="155"/>
      <c r="J129" s="197" t="str">
        <f>IF(裝船資訊!F50="","",裝船資訊!F50)</f>
        <v/>
      </c>
      <c r="K129" s="197"/>
      <c r="L129" s="197"/>
      <c r="M129" s="197"/>
      <c r="N129" s="197"/>
      <c r="O129" s="197"/>
      <c r="P129" s="155"/>
      <c r="Q129" s="198" t="str">
        <f>IF(裝船資訊!M50="","",裝船資訊!M50)</f>
        <v/>
      </c>
      <c r="R129" s="198"/>
      <c r="S129" s="198"/>
      <c r="T129" s="198"/>
      <c r="U129" s="198"/>
    </row>
    <row r="130" spans="1:21" ht="14.1" hidden="1" customHeight="1">
      <c r="A130" s="153"/>
      <c r="B130" s="153"/>
      <c r="C130" s="153"/>
      <c r="D130" s="153"/>
      <c r="E130" s="155" t="str">
        <f>IF(裝船資訊!A51="","",裝船資訊!A51)</f>
        <v/>
      </c>
      <c r="F130" s="155"/>
      <c r="G130" s="155"/>
      <c r="H130" s="155"/>
      <c r="I130" s="155"/>
      <c r="J130" s="197" t="str">
        <f>IF(裝船資訊!F51="","",裝船資訊!F51)</f>
        <v/>
      </c>
      <c r="K130" s="197"/>
      <c r="L130" s="197"/>
      <c r="M130" s="197"/>
      <c r="N130" s="197"/>
      <c r="O130" s="197"/>
      <c r="P130" s="155"/>
      <c r="Q130" s="198" t="str">
        <f>IF(裝船資訊!M51="","",裝船資訊!M51)</f>
        <v/>
      </c>
      <c r="R130" s="198"/>
      <c r="S130" s="198"/>
      <c r="T130" s="198"/>
      <c r="U130" s="198"/>
    </row>
    <row r="131" spans="1:21" ht="14.1" hidden="1" customHeight="1">
      <c r="A131" s="153"/>
      <c r="B131" s="153"/>
      <c r="C131" s="153"/>
      <c r="D131" s="153"/>
      <c r="E131" s="155" t="str">
        <f>IF(裝船資訊!A52="","",裝船資訊!A52)</f>
        <v/>
      </c>
      <c r="F131" s="155"/>
      <c r="G131" s="155"/>
      <c r="H131" s="155"/>
      <c r="I131" s="155"/>
      <c r="J131" s="197" t="str">
        <f>IF(裝船資訊!F52="","",裝船資訊!F52)</f>
        <v/>
      </c>
      <c r="K131" s="197"/>
      <c r="L131" s="197"/>
      <c r="M131" s="197"/>
      <c r="N131" s="197"/>
      <c r="O131" s="197"/>
      <c r="P131" s="155"/>
      <c r="Q131" s="198" t="str">
        <f>IF(裝船資訊!M52="","",裝船資訊!M52)</f>
        <v/>
      </c>
      <c r="R131" s="198"/>
      <c r="S131" s="198"/>
      <c r="T131" s="198"/>
      <c r="U131" s="198"/>
    </row>
    <row r="132" spans="1:21" ht="14.1" hidden="1" customHeight="1">
      <c r="A132" s="153"/>
      <c r="B132" s="153"/>
      <c r="C132" s="153"/>
      <c r="D132" s="153"/>
      <c r="E132" s="155" t="str">
        <f>IF(裝船資訊!A53="","",裝船資訊!A53)</f>
        <v/>
      </c>
      <c r="F132" s="155"/>
      <c r="G132" s="155"/>
      <c r="H132" s="155"/>
      <c r="I132" s="155"/>
      <c r="J132" s="197" t="str">
        <f>IF(裝船資訊!F53="","",裝船資訊!F53)</f>
        <v/>
      </c>
      <c r="K132" s="197"/>
      <c r="L132" s="197"/>
      <c r="M132" s="197"/>
      <c r="N132" s="197"/>
      <c r="O132" s="197"/>
      <c r="P132" s="155"/>
      <c r="Q132" s="198" t="str">
        <f>IF(裝船資訊!M53="","",裝船資訊!M53)</f>
        <v/>
      </c>
      <c r="R132" s="198"/>
      <c r="S132" s="198"/>
      <c r="T132" s="198"/>
      <c r="U132" s="198"/>
    </row>
    <row r="133" spans="1:21" ht="14.1" hidden="1" customHeight="1">
      <c r="A133" s="153"/>
      <c r="B133" s="153"/>
      <c r="C133" s="153"/>
      <c r="D133" s="153"/>
      <c r="E133" s="155" t="str">
        <f>IF(裝船資訊!A54="","",裝船資訊!A54)</f>
        <v/>
      </c>
      <c r="F133" s="155"/>
      <c r="G133" s="155"/>
      <c r="H133" s="155"/>
      <c r="I133" s="155"/>
      <c r="J133" s="197" t="str">
        <f>IF(裝船資訊!F54="","",裝船資訊!F54)</f>
        <v/>
      </c>
      <c r="K133" s="197"/>
      <c r="L133" s="197"/>
      <c r="M133" s="197"/>
      <c r="N133" s="197"/>
      <c r="O133" s="197"/>
      <c r="P133" s="155"/>
      <c r="Q133" s="198" t="str">
        <f>IF(裝船資訊!M54="","",裝船資訊!M54)</f>
        <v/>
      </c>
      <c r="R133" s="198"/>
      <c r="S133" s="198"/>
      <c r="T133" s="198"/>
      <c r="U133" s="198"/>
    </row>
    <row r="134" spans="1:21" ht="14.1" hidden="1" customHeight="1">
      <c r="A134" s="153"/>
      <c r="B134" s="153"/>
      <c r="C134" s="153"/>
      <c r="D134" s="153"/>
      <c r="E134" s="155" t="str">
        <f>IF(裝船資訊!A55="","",裝船資訊!A55)</f>
        <v/>
      </c>
      <c r="F134" s="155"/>
      <c r="G134" s="155"/>
      <c r="H134" s="155"/>
      <c r="I134" s="155"/>
      <c r="J134" s="197" t="str">
        <f>IF(裝船資訊!F55="","",裝船資訊!F55)</f>
        <v/>
      </c>
      <c r="K134" s="197"/>
      <c r="L134" s="197"/>
      <c r="M134" s="197"/>
      <c r="N134" s="197"/>
      <c r="O134" s="197"/>
      <c r="P134" s="155"/>
      <c r="Q134" s="198" t="str">
        <f>IF(裝船資訊!M55="","",裝船資訊!M55)</f>
        <v/>
      </c>
      <c r="R134" s="198"/>
      <c r="S134" s="198"/>
      <c r="T134" s="198"/>
      <c r="U134" s="198"/>
    </row>
    <row r="135" spans="1:21" ht="14.1" hidden="1" customHeight="1">
      <c r="A135" s="153"/>
      <c r="B135" s="153"/>
      <c r="C135" s="153"/>
      <c r="D135" s="153"/>
      <c r="E135" s="155" t="str">
        <f>IF(裝船資訊!A56="","",裝船資訊!A56)</f>
        <v/>
      </c>
      <c r="F135" s="155"/>
      <c r="G135" s="155"/>
      <c r="H135" s="155"/>
      <c r="I135" s="155"/>
      <c r="J135" s="197" t="str">
        <f>IF(裝船資訊!F56="","",裝船資訊!F56)</f>
        <v/>
      </c>
      <c r="K135" s="197"/>
      <c r="L135" s="197"/>
      <c r="M135" s="197"/>
      <c r="N135" s="197"/>
      <c r="O135" s="197"/>
      <c r="P135" s="155"/>
      <c r="Q135" s="198" t="str">
        <f>IF(裝船資訊!M56="","",裝船資訊!M56)</f>
        <v/>
      </c>
      <c r="R135" s="198"/>
      <c r="S135" s="198"/>
      <c r="T135" s="198"/>
      <c r="U135" s="198"/>
    </row>
    <row r="136" spans="1:21" ht="14.1" hidden="1" customHeight="1">
      <c r="A136" s="153"/>
      <c r="B136" s="153"/>
      <c r="C136" s="153"/>
      <c r="D136" s="153"/>
      <c r="E136" s="155" t="str">
        <f>IF(裝船資訊!A57="","",裝船資訊!A57)</f>
        <v/>
      </c>
      <c r="F136" s="155"/>
      <c r="G136" s="155"/>
      <c r="H136" s="155"/>
      <c r="I136" s="155"/>
      <c r="J136" s="197" t="str">
        <f>IF(裝船資訊!F57="","",裝船資訊!F57)</f>
        <v/>
      </c>
      <c r="K136" s="197"/>
      <c r="L136" s="197"/>
      <c r="M136" s="197"/>
      <c r="N136" s="197"/>
      <c r="O136" s="197"/>
      <c r="P136" s="155"/>
      <c r="Q136" s="198" t="str">
        <f>IF(裝船資訊!M57="","",裝船資訊!M57)</f>
        <v/>
      </c>
      <c r="R136" s="198"/>
      <c r="S136" s="198"/>
      <c r="T136" s="198"/>
      <c r="U136" s="198"/>
    </row>
    <row r="137" spans="1:21" ht="14.1" hidden="1" customHeight="1">
      <c r="A137" s="153"/>
      <c r="B137" s="153"/>
      <c r="C137" s="153"/>
      <c r="D137" s="153"/>
      <c r="E137" s="155" t="str">
        <f>IF(裝船資訊!A58="","",裝船資訊!A58)</f>
        <v/>
      </c>
      <c r="F137" s="155"/>
      <c r="G137" s="155"/>
      <c r="H137" s="155"/>
      <c r="I137" s="155"/>
      <c r="J137" s="197" t="str">
        <f>IF(裝船資訊!F58="","",裝船資訊!F58)</f>
        <v/>
      </c>
      <c r="K137" s="197"/>
      <c r="L137" s="197"/>
      <c r="M137" s="197"/>
      <c r="N137" s="197"/>
      <c r="O137" s="197"/>
      <c r="P137" s="155"/>
      <c r="Q137" s="198" t="str">
        <f>IF(裝船資訊!M58="","",裝船資訊!M58)</f>
        <v/>
      </c>
      <c r="R137" s="198"/>
      <c r="S137" s="198"/>
      <c r="T137" s="198"/>
      <c r="U137" s="198"/>
    </row>
    <row r="138" spans="1:21" ht="14.1" hidden="1" customHeight="1">
      <c r="A138" s="153"/>
      <c r="B138" s="153"/>
      <c r="C138" s="153"/>
      <c r="D138" s="153"/>
      <c r="E138" s="155" t="str">
        <f>IF(裝船資訊!A59="","",裝船資訊!A59)</f>
        <v/>
      </c>
      <c r="F138" s="155"/>
      <c r="G138" s="155"/>
      <c r="H138" s="155"/>
      <c r="I138" s="155"/>
      <c r="J138" s="197" t="str">
        <f>IF(裝船資訊!F59="","",裝船資訊!F59)</f>
        <v/>
      </c>
      <c r="K138" s="197"/>
      <c r="L138" s="197"/>
      <c r="M138" s="197"/>
      <c r="N138" s="197"/>
      <c r="O138" s="197"/>
      <c r="P138" s="155"/>
      <c r="Q138" s="198" t="str">
        <f>IF(裝船資訊!M59="","",裝船資訊!M59)</f>
        <v/>
      </c>
      <c r="R138" s="198"/>
      <c r="S138" s="198"/>
      <c r="T138" s="198"/>
      <c r="U138" s="198"/>
    </row>
    <row r="139" spans="1:21" ht="14.1" hidden="1" customHeight="1">
      <c r="A139" s="153"/>
      <c r="B139" s="153"/>
      <c r="C139" s="153"/>
      <c r="D139" s="153"/>
      <c r="E139" s="155" t="str">
        <f>IF(裝船資訊!A60="","",裝船資訊!A60)</f>
        <v/>
      </c>
      <c r="F139" s="155"/>
      <c r="G139" s="155"/>
      <c r="H139" s="155"/>
      <c r="I139" s="155"/>
      <c r="J139" s="197" t="str">
        <f>IF(裝船資訊!F60="","",裝船資訊!F60)</f>
        <v/>
      </c>
      <c r="K139" s="197"/>
      <c r="L139" s="197"/>
      <c r="M139" s="197"/>
      <c r="N139" s="197"/>
      <c r="O139" s="197"/>
      <c r="P139" s="155"/>
      <c r="Q139" s="198" t="str">
        <f>IF(裝船資訊!M60="","",裝船資訊!M60)</f>
        <v/>
      </c>
      <c r="R139" s="198"/>
      <c r="S139" s="198"/>
      <c r="T139" s="198"/>
      <c r="U139" s="198"/>
    </row>
    <row r="140" spans="1:21" ht="14.1" hidden="1" customHeight="1">
      <c r="A140" s="153"/>
      <c r="B140" s="153"/>
      <c r="C140" s="153"/>
      <c r="D140" s="153"/>
      <c r="E140" s="155" t="str">
        <f>IF(裝船資訊!A61="","",裝船資訊!A61)</f>
        <v/>
      </c>
      <c r="F140" s="155"/>
      <c r="G140" s="155"/>
      <c r="H140" s="155"/>
      <c r="I140" s="155"/>
      <c r="J140" s="197" t="str">
        <f>IF(裝船資訊!F61="","",裝船資訊!F61)</f>
        <v/>
      </c>
      <c r="K140" s="197"/>
      <c r="L140" s="197"/>
      <c r="M140" s="197"/>
      <c r="N140" s="197"/>
      <c r="O140" s="197"/>
      <c r="P140" s="155"/>
      <c r="Q140" s="198" t="str">
        <f>IF(裝船資訊!M61="","",裝船資訊!M61)</f>
        <v/>
      </c>
      <c r="R140" s="198"/>
      <c r="S140" s="198"/>
      <c r="T140" s="198"/>
      <c r="U140" s="198"/>
    </row>
    <row r="141" spans="1:21" ht="14.1" hidden="1" customHeight="1">
      <c r="A141" s="153"/>
      <c r="B141" s="153"/>
      <c r="C141" s="153"/>
      <c r="D141" s="153"/>
      <c r="E141" s="155" t="str">
        <f>IF(裝船資訊!A62="","",裝船資訊!A62)</f>
        <v/>
      </c>
      <c r="F141" s="155"/>
      <c r="G141" s="155"/>
      <c r="H141" s="155"/>
      <c r="I141" s="155"/>
      <c r="J141" s="197" t="str">
        <f>IF(裝船資訊!F62="","",裝船資訊!F62)</f>
        <v/>
      </c>
      <c r="K141" s="197"/>
      <c r="L141" s="197"/>
      <c r="M141" s="197"/>
      <c r="N141" s="197"/>
      <c r="O141" s="197"/>
      <c r="P141" s="155"/>
      <c r="Q141" s="198" t="str">
        <f>IF(裝船資訊!M62="","",裝船資訊!M62)</f>
        <v/>
      </c>
      <c r="R141" s="198"/>
      <c r="S141" s="198"/>
      <c r="T141" s="198"/>
      <c r="U141" s="198"/>
    </row>
    <row r="142" spans="1:21" ht="14.1" hidden="1" customHeight="1">
      <c r="A142" s="153"/>
      <c r="B142" s="153"/>
      <c r="C142" s="153"/>
      <c r="D142" s="153"/>
      <c r="E142" s="155" t="str">
        <f>IF(裝船資訊!A63="","",裝船資訊!A63)</f>
        <v/>
      </c>
      <c r="F142" s="155"/>
      <c r="G142" s="155"/>
      <c r="H142" s="155"/>
      <c r="I142" s="155"/>
      <c r="J142" s="197" t="str">
        <f>IF(裝船資訊!F63="","",裝船資訊!F63)</f>
        <v/>
      </c>
      <c r="K142" s="197"/>
      <c r="L142" s="197"/>
      <c r="M142" s="197"/>
      <c r="N142" s="197"/>
      <c r="O142" s="197"/>
      <c r="P142" s="155"/>
      <c r="Q142" s="198" t="str">
        <f>IF(裝船資訊!M63="","",裝船資訊!M63)</f>
        <v/>
      </c>
      <c r="R142" s="198"/>
      <c r="S142" s="198"/>
      <c r="T142" s="198"/>
      <c r="U142" s="198"/>
    </row>
    <row r="143" spans="1:21" ht="14.1" hidden="1" customHeight="1">
      <c r="A143" s="153"/>
      <c r="B143" s="153"/>
      <c r="C143" s="153"/>
      <c r="D143" s="153"/>
      <c r="E143" s="155" t="str">
        <f>IF(裝船資訊!A64="","",裝船資訊!A64)</f>
        <v/>
      </c>
      <c r="F143" s="155"/>
      <c r="G143" s="155"/>
      <c r="H143" s="155"/>
      <c r="I143" s="155"/>
      <c r="J143" s="197" t="str">
        <f>IF(裝船資訊!F64="","",裝船資訊!F64)</f>
        <v/>
      </c>
      <c r="K143" s="197"/>
      <c r="L143" s="197"/>
      <c r="M143" s="197"/>
      <c r="N143" s="197"/>
      <c r="O143" s="197"/>
      <c r="P143" s="155"/>
      <c r="Q143" s="198" t="str">
        <f>IF(裝船資訊!M64="","",裝船資訊!M64)</f>
        <v/>
      </c>
      <c r="R143" s="198"/>
      <c r="S143" s="198"/>
      <c r="T143" s="198"/>
      <c r="U143" s="198"/>
    </row>
    <row r="144" spans="1:21" ht="14.1" hidden="1" customHeight="1">
      <c r="A144" s="153"/>
      <c r="B144" s="153"/>
      <c r="C144" s="153"/>
      <c r="D144" s="153"/>
      <c r="E144" s="155" t="str">
        <f>IF(裝船資訊!A65="","",裝船資訊!A65)</f>
        <v/>
      </c>
      <c r="F144" s="155"/>
      <c r="G144" s="155"/>
      <c r="H144" s="155"/>
      <c r="I144" s="155"/>
      <c r="J144" s="197" t="str">
        <f>IF(裝船資訊!F65="","",裝船資訊!F65)</f>
        <v/>
      </c>
      <c r="K144" s="197"/>
      <c r="L144" s="197"/>
      <c r="M144" s="197"/>
      <c r="N144" s="197"/>
      <c r="O144" s="197"/>
      <c r="P144" s="155"/>
      <c r="Q144" s="198" t="str">
        <f>IF(裝船資訊!M65="","",裝船資訊!M65)</f>
        <v/>
      </c>
      <c r="R144" s="198"/>
      <c r="S144" s="198"/>
      <c r="T144" s="198"/>
      <c r="U144" s="198"/>
    </row>
    <row r="145" spans="1:21" ht="14.1" hidden="1" customHeight="1">
      <c r="A145" s="153"/>
      <c r="B145" s="153"/>
      <c r="C145" s="153"/>
      <c r="D145" s="153"/>
      <c r="E145" s="155" t="str">
        <f>IF(裝船資訊!A66="","",裝船資訊!A66)</f>
        <v/>
      </c>
      <c r="F145" s="155"/>
      <c r="G145" s="155"/>
      <c r="H145" s="155"/>
      <c r="I145" s="155"/>
      <c r="J145" s="197" t="str">
        <f>IF(裝船資訊!F66="","",裝船資訊!F66)</f>
        <v/>
      </c>
      <c r="K145" s="197"/>
      <c r="L145" s="197"/>
      <c r="M145" s="197"/>
      <c r="N145" s="197"/>
      <c r="O145" s="197"/>
      <c r="P145" s="155"/>
      <c r="Q145" s="198" t="str">
        <f>IF(裝船資訊!M66="","",裝船資訊!M66)</f>
        <v/>
      </c>
      <c r="R145" s="198"/>
      <c r="S145" s="198"/>
      <c r="T145" s="198"/>
      <c r="U145" s="198"/>
    </row>
    <row r="146" spans="1:21" ht="14.1" hidden="1" customHeight="1">
      <c r="A146" s="153"/>
      <c r="B146" s="153"/>
      <c r="C146" s="153"/>
      <c r="D146" s="153"/>
      <c r="E146" s="155" t="str">
        <f>IF(裝船資訊!A67="","",裝船資訊!A67)</f>
        <v/>
      </c>
      <c r="F146" s="155"/>
      <c r="G146" s="155"/>
      <c r="H146" s="155"/>
      <c r="I146" s="155"/>
      <c r="J146" s="197" t="str">
        <f>IF(裝船資訊!F67="","",裝船資訊!F67)</f>
        <v/>
      </c>
      <c r="K146" s="197"/>
      <c r="L146" s="197"/>
      <c r="M146" s="197"/>
      <c r="N146" s="197"/>
      <c r="O146" s="197"/>
      <c r="P146" s="155"/>
      <c r="Q146" s="198" t="str">
        <f>IF(裝船資訊!M67="","",裝船資訊!M67)</f>
        <v/>
      </c>
      <c r="R146" s="198"/>
      <c r="S146" s="198"/>
      <c r="T146" s="198"/>
      <c r="U146" s="198"/>
    </row>
    <row r="147" spans="1:21" ht="14.1" hidden="1" customHeight="1">
      <c r="A147" s="153"/>
      <c r="B147" s="153"/>
      <c r="C147" s="153"/>
      <c r="D147" s="153"/>
      <c r="E147" s="155" t="str">
        <f>IF(裝船資訊!A68="","",裝船資訊!A68)</f>
        <v/>
      </c>
      <c r="F147" s="155"/>
      <c r="G147" s="155"/>
      <c r="H147" s="155"/>
      <c r="I147" s="155"/>
      <c r="J147" s="197" t="str">
        <f>IF(裝船資訊!F68="","",裝船資訊!F68)</f>
        <v/>
      </c>
      <c r="K147" s="197"/>
      <c r="L147" s="197"/>
      <c r="M147" s="197"/>
      <c r="N147" s="197"/>
      <c r="O147" s="197"/>
      <c r="P147" s="155"/>
      <c r="Q147" s="198" t="str">
        <f>IF(裝船資訊!M68="","",裝船資訊!M68)</f>
        <v/>
      </c>
      <c r="R147" s="198"/>
      <c r="S147" s="198"/>
      <c r="T147" s="198"/>
      <c r="U147" s="198"/>
    </row>
    <row r="148" spans="1:21" ht="14.1" hidden="1" customHeight="1">
      <c r="A148" s="153"/>
      <c r="B148" s="153"/>
      <c r="C148" s="153"/>
      <c r="D148" s="153"/>
      <c r="E148" s="155" t="str">
        <f>IF(裝船資訊!A69="","",裝船資訊!A69)</f>
        <v/>
      </c>
      <c r="F148" s="155"/>
      <c r="G148" s="155"/>
      <c r="H148" s="155"/>
      <c r="I148" s="155"/>
      <c r="J148" s="197" t="str">
        <f>IF(裝船資訊!F69="","",裝船資訊!F69)</f>
        <v/>
      </c>
      <c r="K148" s="197"/>
      <c r="L148" s="197"/>
      <c r="M148" s="197"/>
      <c r="N148" s="197"/>
      <c r="O148" s="197"/>
      <c r="P148" s="155"/>
      <c r="Q148" s="198" t="str">
        <f>IF(裝船資訊!M69="","",裝船資訊!M69)</f>
        <v/>
      </c>
      <c r="R148" s="198"/>
      <c r="S148" s="198"/>
      <c r="T148" s="198"/>
      <c r="U148" s="198"/>
    </row>
    <row r="149" spans="1:21" ht="14.1" hidden="1" customHeight="1">
      <c r="A149" s="153"/>
      <c r="B149" s="153"/>
      <c r="C149" s="153"/>
      <c r="D149" s="153"/>
      <c r="E149" s="155" t="str">
        <f>IF(裝船資訊!A70="","",裝船資訊!A70)</f>
        <v/>
      </c>
      <c r="F149" s="155"/>
      <c r="G149" s="155"/>
      <c r="H149" s="155"/>
      <c r="I149" s="155"/>
      <c r="J149" s="197" t="str">
        <f>IF(裝船資訊!F70="","",裝船資訊!F70)</f>
        <v/>
      </c>
      <c r="K149" s="197"/>
      <c r="L149" s="197"/>
      <c r="M149" s="197"/>
      <c r="N149" s="197"/>
      <c r="O149" s="197"/>
      <c r="P149" s="155"/>
      <c r="Q149" s="198" t="str">
        <f>IF(裝船資訊!M70="","",裝船資訊!M70)</f>
        <v/>
      </c>
      <c r="R149" s="198"/>
      <c r="S149" s="198"/>
      <c r="T149" s="198"/>
      <c r="U149" s="198"/>
    </row>
    <row r="150" spans="1:21" ht="14.1" hidden="1" customHeight="1">
      <c r="A150" s="153"/>
      <c r="B150" s="153"/>
      <c r="C150" s="153"/>
      <c r="D150" s="153"/>
      <c r="E150" s="155" t="str">
        <f>IF(裝船資訊!A71="","",裝船資訊!A71)</f>
        <v/>
      </c>
      <c r="F150" s="155"/>
      <c r="G150" s="155"/>
      <c r="H150" s="155"/>
      <c r="I150" s="155"/>
      <c r="J150" s="197" t="str">
        <f>IF(裝船資訊!F71="","",裝船資訊!F71)</f>
        <v/>
      </c>
      <c r="K150" s="197"/>
      <c r="L150" s="197"/>
      <c r="M150" s="197"/>
      <c r="N150" s="197"/>
      <c r="O150" s="197"/>
      <c r="P150" s="155"/>
      <c r="Q150" s="198" t="str">
        <f>IF(裝船資訊!M71="","",裝船資訊!M71)</f>
        <v/>
      </c>
      <c r="R150" s="198"/>
      <c r="S150" s="198"/>
      <c r="T150" s="198"/>
      <c r="U150" s="198"/>
    </row>
    <row r="151" spans="1:21" ht="14.1" hidden="1" customHeight="1">
      <c r="A151" s="153"/>
      <c r="B151" s="153"/>
      <c r="C151" s="153"/>
      <c r="D151" s="153"/>
      <c r="E151" s="155" t="str">
        <f>IF(裝船資訊!A72="","",裝船資訊!A72)</f>
        <v/>
      </c>
      <c r="F151" s="155"/>
      <c r="G151" s="155"/>
      <c r="H151" s="155"/>
      <c r="I151" s="155"/>
      <c r="J151" s="197" t="str">
        <f>IF(裝船資訊!F72="","",裝船資訊!F72)</f>
        <v/>
      </c>
      <c r="K151" s="197"/>
      <c r="L151" s="197"/>
      <c r="M151" s="197"/>
      <c r="N151" s="197"/>
      <c r="O151" s="197"/>
      <c r="P151" s="155"/>
      <c r="Q151" s="198" t="str">
        <f>IF(裝船資訊!M72="","",裝船資訊!M72)</f>
        <v/>
      </c>
      <c r="R151" s="198"/>
      <c r="S151" s="198"/>
      <c r="T151" s="198"/>
      <c r="U151" s="198"/>
    </row>
    <row r="152" spans="1:21" ht="14.1" hidden="1" customHeight="1">
      <c r="A152" s="153"/>
      <c r="B152" s="153"/>
      <c r="C152" s="153"/>
      <c r="D152" s="153"/>
      <c r="E152" s="155" t="str">
        <f>IF(裝船資訊!A73="","",裝船資訊!A73)</f>
        <v/>
      </c>
      <c r="F152" s="155"/>
      <c r="G152" s="155"/>
      <c r="H152" s="155"/>
      <c r="I152" s="155"/>
      <c r="J152" s="197" t="str">
        <f>IF(裝船資訊!F73="","",裝船資訊!F73)</f>
        <v/>
      </c>
      <c r="K152" s="197"/>
      <c r="L152" s="197"/>
      <c r="M152" s="197"/>
      <c r="N152" s="197"/>
      <c r="O152" s="197"/>
      <c r="P152" s="155"/>
      <c r="Q152" s="198" t="str">
        <f>IF(裝船資訊!M73="","",裝船資訊!M73)</f>
        <v/>
      </c>
      <c r="R152" s="198"/>
      <c r="S152" s="198"/>
      <c r="T152" s="198"/>
      <c r="U152" s="198"/>
    </row>
    <row r="153" spans="1:21" ht="14.1" hidden="1" customHeight="1">
      <c r="A153" s="153"/>
      <c r="B153" s="153"/>
      <c r="C153" s="153"/>
      <c r="D153" s="153"/>
      <c r="E153" s="155" t="str">
        <f>IF(裝船資訊!A74="","",裝船資訊!A74)</f>
        <v/>
      </c>
      <c r="F153" s="155"/>
      <c r="G153" s="155"/>
      <c r="H153" s="155"/>
      <c r="I153" s="155"/>
      <c r="J153" s="197" t="str">
        <f>IF(裝船資訊!F74="","",裝船資訊!F74)</f>
        <v/>
      </c>
      <c r="K153" s="197"/>
      <c r="L153" s="197"/>
      <c r="M153" s="197"/>
      <c r="N153" s="197"/>
      <c r="O153" s="197"/>
      <c r="P153" s="155"/>
      <c r="Q153" s="198" t="str">
        <f>IF(裝船資訊!M74="","",裝船資訊!M74)</f>
        <v/>
      </c>
      <c r="R153" s="198"/>
      <c r="S153" s="198"/>
      <c r="T153" s="198"/>
      <c r="U153" s="198"/>
    </row>
    <row r="154" spans="1:21" ht="14.1" hidden="1" customHeight="1">
      <c r="A154" s="153"/>
      <c r="B154" s="153"/>
      <c r="C154" s="153"/>
      <c r="D154" s="153"/>
      <c r="E154" s="155" t="str">
        <f>IF(裝船資訊!A75="","",裝船資訊!A75)</f>
        <v/>
      </c>
      <c r="F154" s="155"/>
      <c r="G154" s="155"/>
      <c r="H154" s="155"/>
      <c r="I154" s="155"/>
      <c r="J154" s="197" t="str">
        <f>IF(裝船資訊!F75="","",裝船資訊!F75)</f>
        <v/>
      </c>
      <c r="K154" s="197"/>
      <c r="L154" s="197"/>
      <c r="M154" s="197"/>
      <c r="N154" s="197"/>
      <c r="O154" s="197"/>
      <c r="P154" s="155"/>
      <c r="Q154" s="198" t="str">
        <f>IF(裝船資訊!M75="","",裝船資訊!M75)</f>
        <v/>
      </c>
      <c r="R154" s="198"/>
      <c r="S154" s="198"/>
      <c r="T154" s="198"/>
      <c r="U154" s="198"/>
    </row>
    <row r="155" spans="1:21" ht="14.1" hidden="1" customHeight="1">
      <c r="A155" s="153"/>
      <c r="B155" s="153"/>
      <c r="C155" s="153"/>
      <c r="D155" s="153"/>
      <c r="E155" s="155" t="str">
        <f>IF(裝船資訊!A76="","",裝船資訊!A76)</f>
        <v/>
      </c>
      <c r="F155" s="155"/>
      <c r="G155" s="155"/>
      <c r="H155" s="155"/>
      <c r="I155" s="155"/>
      <c r="J155" s="197" t="str">
        <f>IF(裝船資訊!F76="","",裝船資訊!F76)</f>
        <v/>
      </c>
      <c r="K155" s="197"/>
      <c r="L155" s="197"/>
      <c r="M155" s="197"/>
      <c r="N155" s="197"/>
      <c r="O155" s="197"/>
      <c r="P155" s="155"/>
      <c r="Q155" s="198" t="str">
        <f>IF(裝船資訊!M76="","",裝船資訊!M76)</f>
        <v/>
      </c>
      <c r="R155" s="198"/>
      <c r="S155" s="198"/>
      <c r="T155" s="198"/>
      <c r="U155" s="198"/>
    </row>
    <row r="156" spans="1:21" ht="14.1" hidden="1" customHeight="1">
      <c r="A156" s="153"/>
      <c r="B156" s="153"/>
      <c r="C156" s="153"/>
      <c r="D156" s="153"/>
      <c r="E156" s="155" t="str">
        <f>IF(裝船資訊!A77="","",裝船資訊!A77)</f>
        <v/>
      </c>
      <c r="F156" s="155"/>
      <c r="G156" s="155"/>
      <c r="H156" s="155"/>
      <c r="I156" s="155"/>
      <c r="J156" s="197" t="str">
        <f>IF(裝船資訊!F77="","",裝船資訊!F77)</f>
        <v/>
      </c>
      <c r="K156" s="197"/>
      <c r="L156" s="197"/>
      <c r="M156" s="197"/>
      <c r="N156" s="197"/>
      <c r="O156" s="197"/>
      <c r="P156" s="155"/>
      <c r="Q156" s="198" t="str">
        <f>IF(裝船資訊!M77="","",裝船資訊!M77)</f>
        <v/>
      </c>
      <c r="R156" s="198"/>
      <c r="S156" s="198"/>
      <c r="T156" s="198"/>
      <c r="U156" s="198"/>
    </row>
    <row r="157" spans="1:21" ht="14.1" hidden="1" customHeight="1">
      <c r="A157" s="153"/>
      <c r="B157" s="153"/>
      <c r="C157" s="153"/>
      <c r="D157" s="153"/>
      <c r="E157" s="155" t="str">
        <f>IF(裝船資訊!A78="","",裝船資訊!A78)</f>
        <v/>
      </c>
      <c r="F157" s="155"/>
      <c r="G157" s="155"/>
      <c r="H157" s="155"/>
      <c r="I157" s="155"/>
      <c r="J157" s="197" t="str">
        <f>IF(裝船資訊!F78="","",裝船資訊!F78)</f>
        <v/>
      </c>
      <c r="K157" s="197"/>
      <c r="L157" s="197"/>
      <c r="M157" s="197"/>
      <c r="N157" s="197"/>
      <c r="O157" s="197"/>
      <c r="P157" s="155"/>
      <c r="Q157" s="198" t="str">
        <f>IF(裝船資訊!M78="","",裝船資訊!M78)</f>
        <v/>
      </c>
      <c r="R157" s="198"/>
      <c r="S157" s="198"/>
      <c r="T157" s="198"/>
      <c r="U157" s="198"/>
    </row>
    <row r="158" spans="1:21" ht="14.1" hidden="1" customHeight="1">
      <c r="A158" s="153"/>
      <c r="B158" s="153"/>
      <c r="C158" s="153"/>
      <c r="D158" s="153"/>
      <c r="E158" s="155" t="str">
        <f>IF(裝船資訊!A79="","",裝船資訊!A79)</f>
        <v/>
      </c>
      <c r="F158" s="155"/>
      <c r="G158" s="155"/>
      <c r="H158" s="155"/>
      <c r="I158" s="155"/>
      <c r="J158" s="197" t="str">
        <f>IF(裝船資訊!F79="","",裝船資訊!F79)</f>
        <v/>
      </c>
      <c r="K158" s="197"/>
      <c r="L158" s="197"/>
      <c r="M158" s="197"/>
      <c r="N158" s="197"/>
      <c r="O158" s="197"/>
      <c r="P158" s="155"/>
      <c r="Q158" s="198" t="str">
        <f>IF(裝船資訊!M79="","",裝船資訊!M79)</f>
        <v/>
      </c>
      <c r="R158" s="198"/>
      <c r="S158" s="198"/>
      <c r="T158" s="198"/>
      <c r="U158" s="198"/>
    </row>
    <row r="159" spans="1:21" ht="14.1" hidden="1" customHeight="1">
      <c r="A159" s="153"/>
      <c r="B159" s="153"/>
      <c r="C159" s="153"/>
      <c r="D159" s="153"/>
      <c r="E159" s="155" t="str">
        <f>IF(裝船資訊!A80="","",裝船資訊!A80)</f>
        <v/>
      </c>
      <c r="F159" s="155"/>
      <c r="G159" s="155"/>
      <c r="H159" s="155"/>
      <c r="I159" s="155"/>
      <c r="J159" s="197" t="str">
        <f>IF(裝船資訊!F80="","",裝船資訊!F80)</f>
        <v/>
      </c>
      <c r="K159" s="197"/>
      <c r="L159" s="197"/>
      <c r="M159" s="197"/>
      <c r="N159" s="197"/>
      <c r="O159" s="197"/>
      <c r="P159" s="155"/>
      <c r="Q159" s="198" t="str">
        <f>IF(裝船資訊!M80="","",裝船資訊!M80)</f>
        <v/>
      </c>
      <c r="R159" s="198"/>
      <c r="S159" s="198"/>
      <c r="T159" s="198"/>
      <c r="U159" s="198"/>
    </row>
    <row r="160" spans="1:21" ht="14.1" hidden="1" customHeight="1">
      <c r="A160" s="153"/>
      <c r="B160" s="153"/>
      <c r="C160" s="153"/>
      <c r="D160" s="153"/>
      <c r="E160" s="155" t="str">
        <f>IF(裝船資訊!A81="","",裝船資訊!A81)</f>
        <v/>
      </c>
      <c r="F160" s="155"/>
      <c r="G160" s="155"/>
      <c r="H160" s="155"/>
      <c r="I160" s="155"/>
      <c r="J160" s="197" t="str">
        <f>IF(裝船資訊!F81="","",裝船資訊!F81)</f>
        <v/>
      </c>
      <c r="K160" s="197"/>
      <c r="L160" s="197"/>
      <c r="M160" s="197"/>
      <c r="N160" s="197"/>
      <c r="O160" s="197"/>
      <c r="P160" s="155"/>
      <c r="Q160" s="198" t="str">
        <f>IF(裝船資訊!M81="","",裝船資訊!M81)</f>
        <v/>
      </c>
      <c r="R160" s="198"/>
      <c r="S160" s="198"/>
      <c r="T160" s="198"/>
      <c r="U160" s="198"/>
    </row>
    <row r="161" spans="1:24" ht="14.1" hidden="1" customHeight="1">
      <c r="A161" s="153"/>
      <c r="B161" s="153"/>
      <c r="C161" s="153"/>
      <c r="D161" s="153"/>
      <c r="E161" s="155" t="str">
        <f>IF(裝船資訊!A82="","",裝船資訊!A82)</f>
        <v/>
      </c>
      <c r="F161" s="155"/>
      <c r="G161" s="155"/>
      <c r="H161" s="155"/>
      <c r="I161" s="155"/>
      <c r="J161" s="197" t="str">
        <f>IF(裝船資訊!F82="","",裝船資訊!F82)</f>
        <v/>
      </c>
      <c r="K161" s="197"/>
      <c r="L161" s="197"/>
      <c r="M161" s="197"/>
      <c r="N161" s="197"/>
      <c r="O161" s="197"/>
      <c r="P161" s="155"/>
      <c r="Q161" s="198" t="str">
        <f>IF(裝船資訊!M82="","",裝船資訊!M82)</f>
        <v/>
      </c>
      <c r="R161" s="198"/>
      <c r="S161" s="198"/>
      <c r="T161" s="198"/>
      <c r="U161" s="198"/>
    </row>
    <row r="162" spans="1:24" ht="14.1" hidden="1" customHeight="1">
      <c r="A162" s="153"/>
      <c r="B162" s="153"/>
      <c r="C162" s="153"/>
      <c r="D162" s="153"/>
      <c r="E162" s="155" t="str">
        <f>IF(裝船資訊!A83="","",裝船資訊!A83)</f>
        <v/>
      </c>
      <c r="F162" s="155"/>
      <c r="G162" s="155"/>
      <c r="H162" s="155"/>
      <c r="I162" s="155"/>
      <c r="J162" s="197" t="str">
        <f>IF(裝船資訊!F83="","",裝船資訊!F83)</f>
        <v/>
      </c>
      <c r="K162" s="197"/>
      <c r="L162" s="197"/>
      <c r="M162" s="197"/>
      <c r="N162" s="197"/>
      <c r="O162" s="197"/>
      <c r="P162" s="155"/>
      <c r="Q162" s="198" t="str">
        <f>IF(裝船資訊!M83="","",裝船資訊!M83)</f>
        <v/>
      </c>
      <c r="R162" s="198"/>
      <c r="S162" s="198"/>
      <c r="T162" s="198"/>
      <c r="U162" s="198"/>
    </row>
    <row r="163" spans="1:24" ht="14.1" hidden="1" customHeight="1">
      <c r="A163" s="153"/>
      <c r="B163" s="153"/>
      <c r="C163" s="153"/>
      <c r="D163" s="153"/>
      <c r="E163" s="155" t="str">
        <f>IF(裝船資訊!A84="","",裝船資訊!A84)</f>
        <v/>
      </c>
      <c r="F163" s="155"/>
      <c r="G163" s="155"/>
      <c r="H163" s="155"/>
      <c r="I163" s="155"/>
      <c r="J163" s="197" t="str">
        <f>IF(裝船資訊!F84="","",裝船資訊!F84)</f>
        <v/>
      </c>
      <c r="K163" s="197"/>
      <c r="L163" s="197"/>
      <c r="M163" s="197"/>
      <c r="N163" s="197"/>
      <c r="O163" s="197"/>
      <c r="P163" s="155"/>
      <c r="Q163" s="198" t="str">
        <f>IF(裝船資訊!M84="","",裝船資訊!M84)</f>
        <v/>
      </c>
      <c r="R163" s="198"/>
      <c r="S163" s="198"/>
      <c r="T163" s="198"/>
      <c r="U163" s="198"/>
    </row>
    <row r="164" spans="1:24" ht="14.1" hidden="1" customHeight="1">
      <c r="A164" s="153"/>
      <c r="B164" s="153"/>
      <c r="C164" s="153"/>
      <c r="D164" s="153"/>
      <c r="E164" s="155" t="str">
        <f>IF(裝船資訊!A85="","",裝船資訊!A85)</f>
        <v/>
      </c>
      <c r="F164" s="155"/>
      <c r="G164" s="155"/>
      <c r="H164" s="155"/>
      <c r="I164" s="155"/>
      <c r="J164" s="197" t="str">
        <f>IF(裝船資訊!F85="","",裝船資訊!F85)</f>
        <v/>
      </c>
      <c r="K164" s="197"/>
      <c r="L164" s="197"/>
      <c r="M164" s="197"/>
      <c r="N164" s="197"/>
      <c r="O164" s="197"/>
      <c r="P164" s="155"/>
      <c r="Q164" s="198" t="str">
        <f>IF(裝船資訊!M85="","",裝船資訊!M85)</f>
        <v/>
      </c>
      <c r="R164" s="198"/>
      <c r="S164" s="198"/>
      <c r="T164" s="198"/>
      <c r="U164" s="198"/>
    </row>
    <row r="165" spans="1:24" ht="14.1" hidden="1" customHeight="1">
      <c r="A165" s="153"/>
      <c r="B165" s="153"/>
      <c r="C165" s="153"/>
      <c r="D165" s="153"/>
      <c r="E165" s="155" t="str">
        <f>IF(裝船資訊!A81="","",裝船資訊!A81)</f>
        <v/>
      </c>
      <c r="F165" s="155"/>
      <c r="G165" s="155"/>
      <c r="H165" s="155"/>
      <c r="I165" s="155"/>
      <c r="J165" s="197" t="str">
        <f>IF(裝船資訊!F81="","",裝船資訊!F81)</f>
        <v/>
      </c>
      <c r="K165" s="197"/>
      <c r="L165" s="197"/>
      <c r="M165" s="197"/>
      <c r="N165" s="197"/>
      <c r="O165" s="197"/>
      <c r="P165" s="155"/>
      <c r="Q165" s="198" t="str">
        <f>IF(裝船資訊!M81="","",裝船資訊!M81)</f>
        <v/>
      </c>
      <c r="R165" s="198"/>
      <c r="S165" s="198"/>
      <c r="T165" s="198"/>
      <c r="U165" s="198"/>
    </row>
    <row r="166" spans="1:24" ht="66.599999999999994" customHeight="1">
      <c r="A166" s="339" t="s">
        <v>102</v>
      </c>
      <c r="B166" s="339"/>
      <c r="C166" s="339"/>
      <c r="D166" s="339"/>
      <c r="E166" s="364" t="str">
        <f>裝船資訊!E47</f>
        <v>The cargo in coils was loaded and stowed together with other parcels in the transversal rows X 1~3 tier(s) high on tank top plates in the ship’s Hold No. 1, 2, 3, 4, 5. Each row was crossly lashed with flat metal strapping bands and cramp seals in group style for preventing coils from tripping during the voyage. (Photo No. ).</v>
      </c>
      <c r="F166" s="364"/>
      <c r="G166" s="364"/>
      <c r="H166" s="364"/>
      <c r="I166" s="364"/>
      <c r="J166" s="364"/>
      <c r="K166" s="364"/>
      <c r="L166" s="364"/>
      <c r="M166" s="364"/>
      <c r="N166" s="364"/>
      <c r="O166" s="364"/>
      <c r="P166" s="364"/>
      <c r="Q166" s="364"/>
      <c r="R166" s="364"/>
      <c r="S166" s="364"/>
      <c r="T166" s="364"/>
      <c r="U166" s="364"/>
      <c r="V166" s="364"/>
      <c r="W166" s="364"/>
      <c r="X166" s="364"/>
    </row>
    <row r="167" spans="1:24" ht="15">
      <c r="A167" s="214"/>
      <c r="B167" s="214"/>
      <c r="C167" s="214"/>
      <c r="D167" s="214"/>
      <c r="E167" s="215"/>
      <c r="F167" s="215"/>
      <c r="G167" s="215"/>
      <c r="H167" s="215"/>
      <c r="I167" s="215"/>
      <c r="J167" s="215"/>
      <c r="K167" s="215"/>
      <c r="L167" s="215"/>
      <c r="M167" s="215"/>
      <c r="N167" s="215"/>
      <c r="O167" s="215"/>
      <c r="P167" s="215"/>
      <c r="Q167" s="215"/>
      <c r="R167" s="215"/>
      <c r="S167" s="215"/>
      <c r="T167" s="215"/>
      <c r="U167" s="215"/>
      <c r="V167" s="215"/>
      <c r="W167" s="215"/>
      <c r="X167" s="215"/>
    </row>
    <row r="168" spans="1:24" ht="35.450000000000003" customHeight="1">
      <c r="A168" s="214"/>
      <c r="B168" s="214"/>
      <c r="C168" s="214"/>
      <c r="D168" s="214"/>
      <c r="E168" s="364" t="str">
        <f>裝船資訊!E49</f>
        <v xml:space="preserve">On spot check basis, wooden dunnage revealed with ISPM stamps shown “TW, KH &amp; HT” Mark on surface, indicating that it had been heat treated. </v>
      </c>
      <c r="F168" s="364"/>
      <c r="G168" s="364"/>
      <c r="H168" s="364"/>
      <c r="I168" s="364"/>
      <c r="J168" s="364"/>
      <c r="K168" s="364"/>
      <c r="L168" s="364"/>
      <c r="M168" s="364"/>
      <c r="N168" s="364"/>
      <c r="O168" s="364"/>
      <c r="P168" s="364"/>
      <c r="Q168" s="364"/>
      <c r="R168" s="364"/>
      <c r="S168" s="364"/>
      <c r="T168" s="364"/>
      <c r="U168" s="364"/>
      <c r="V168" s="364"/>
      <c r="W168" s="364"/>
      <c r="X168" s="364"/>
    </row>
    <row r="169" spans="1:24" ht="15">
      <c r="A169" s="214"/>
      <c r="B169" s="214"/>
      <c r="C169" s="214"/>
      <c r="D169" s="214"/>
      <c r="E169" s="215"/>
      <c r="F169" s="215"/>
      <c r="G169" s="215"/>
      <c r="H169" s="215"/>
      <c r="I169" s="215"/>
      <c r="J169" s="215"/>
      <c r="K169" s="215"/>
      <c r="L169" s="215"/>
      <c r="M169" s="215"/>
      <c r="N169" s="215"/>
      <c r="O169" s="215"/>
      <c r="P169" s="215"/>
      <c r="Q169" s="215"/>
      <c r="R169" s="215"/>
      <c r="S169" s="215"/>
      <c r="T169" s="215"/>
      <c r="U169" s="215"/>
      <c r="V169" s="215"/>
      <c r="W169" s="215"/>
      <c r="X169" s="215"/>
    </row>
    <row r="170" spans="1:24" ht="60.95" customHeight="1">
      <c r="A170" s="214"/>
      <c r="B170" s="214"/>
      <c r="C170" s="214"/>
      <c r="D170" s="214"/>
      <c r="E170" s="364" t="str">
        <f>裝船資訊!E51</f>
        <v>Wooden timbers were athwartshipsly placed in 3 ~ 4 single lines under each row, also about 1.5 m high against hopper plates as dunnage. Wooden wedges were chocked against the lower-tier coils so as to hinder them from moving away from the adjacent coils.</v>
      </c>
      <c r="F170" s="364"/>
      <c r="G170" s="364"/>
      <c r="H170" s="364"/>
      <c r="I170" s="364"/>
      <c r="J170" s="364"/>
      <c r="K170" s="364"/>
      <c r="L170" s="364"/>
      <c r="M170" s="364"/>
      <c r="N170" s="364"/>
      <c r="O170" s="364"/>
      <c r="P170" s="364"/>
      <c r="Q170" s="364"/>
      <c r="R170" s="364"/>
      <c r="S170" s="364"/>
      <c r="T170" s="364"/>
      <c r="U170" s="364"/>
      <c r="V170" s="364"/>
      <c r="W170" s="364"/>
      <c r="X170" s="364"/>
    </row>
    <row r="171" spans="1:24" ht="14.1" customHeight="1">
      <c r="A171" s="151"/>
      <c r="B171" s="151"/>
      <c r="C171" s="151"/>
      <c r="D171" s="151"/>
      <c r="E171" s="151"/>
      <c r="F171" s="151"/>
      <c r="G171" s="151"/>
      <c r="H171" s="151"/>
      <c r="I171" s="151"/>
      <c r="J171" s="151"/>
      <c r="K171" s="151"/>
      <c r="L171" s="151"/>
      <c r="M171" s="151"/>
      <c r="N171" s="151"/>
      <c r="O171" s="151"/>
      <c r="P171" s="151"/>
      <c r="Q171" s="151"/>
      <c r="R171" s="151"/>
      <c r="S171" s="151"/>
      <c r="T171" s="151"/>
      <c r="U171" s="151"/>
      <c r="V171" s="151"/>
      <c r="W171" s="151"/>
      <c r="X171" s="151"/>
    </row>
    <row r="172" spans="1:24" ht="117.6" customHeight="1">
      <c r="A172" s="339" t="s">
        <v>283</v>
      </c>
      <c r="B172" s="339"/>
      <c r="C172" s="339"/>
      <c r="D172" s="339"/>
      <c r="E172" s="364" t="s">
        <v>749</v>
      </c>
      <c r="F172" s="364"/>
      <c r="G172" s="364"/>
      <c r="H172" s="364"/>
      <c r="I172" s="364"/>
      <c r="J172" s="364"/>
      <c r="K172" s="364"/>
      <c r="L172" s="364"/>
      <c r="M172" s="364"/>
      <c r="N172" s="364"/>
      <c r="O172" s="364"/>
      <c r="P172" s="364"/>
      <c r="Q172" s="364"/>
      <c r="R172" s="364"/>
      <c r="S172" s="364"/>
      <c r="T172" s="364"/>
      <c r="U172" s="364"/>
      <c r="V172" s="364"/>
      <c r="W172" s="364"/>
      <c r="X172" s="364"/>
    </row>
    <row r="173" spans="1:24" ht="14.1" customHeight="1">
      <c r="A173" s="151"/>
      <c r="B173" s="151"/>
      <c r="C173" s="151"/>
      <c r="D173" s="151"/>
      <c r="E173" s="151"/>
      <c r="F173" s="151"/>
      <c r="G173" s="151"/>
      <c r="H173" s="151"/>
      <c r="I173" s="151"/>
      <c r="J173" s="151"/>
      <c r="K173" s="151"/>
      <c r="L173" s="151"/>
      <c r="M173" s="151"/>
      <c r="N173" s="151"/>
      <c r="O173" s="151"/>
      <c r="P173" s="151"/>
      <c r="Q173" s="151"/>
      <c r="R173" s="151"/>
      <c r="S173" s="151"/>
      <c r="T173" s="151"/>
      <c r="U173" s="151"/>
      <c r="V173" s="151"/>
      <c r="W173" s="151"/>
      <c r="X173" s="151"/>
    </row>
    <row r="174" spans="1:24" ht="14.1" customHeight="1">
      <c r="A174" s="382" t="s">
        <v>284</v>
      </c>
      <c r="B174" s="382"/>
      <c r="C174" s="382"/>
      <c r="D174" s="382"/>
      <c r="E174" s="382"/>
      <c r="F174" s="382"/>
      <c r="G174" s="382"/>
      <c r="H174" s="382"/>
      <c r="I174" s="382"/>
      <c r="J174" s="382"/>
      <c r="K174" s="382"/>
      <c r="L174" s="382"/>
      <c r="M174" s="382"/>
      <c r="N174" s="382"/>
      <c r="O174" s="382"/>
      <c r="P174" s="382"/>
      <c r="Q174" s="382"/>
      <c r="R174" s="382"/>
      <c r="S174" s="382"/>
      <c r="T174" s="382"/>
      <c r="U174" s="382"/>
      <c r="V174" s="382"/>
      <c r="W174" s="382"/>
      <c r="X174" s="382"/>
    </row>
    <row r="175" spans="1:24" ht="14.1" customHeight="1">
      <c r="A175" s="151"/>
      <c r="B175" s="151"/>
      <c r="C175" s="151"/>
      <c r="D175" s="151"/>
      <c r="E175" s="151"/>
      <c r="F175" s="151"/>
      <c r="G175" s="151"/>
      <c r="H175" s="151"/>
      <c r="I175" s="151"/>
      <c r="J175" s="151"/>
      <c r="K175" s="151"/>
      <c r="L175" s="151"/>
      <c r="M175" s="151"/>
      <c r="N175" s="151"/>
      <c r="O175" s="151"/>
      <c r="P175" s="151"/>
      <c r="Q175" s="151"/>
      <c r="R175" s="151"/>
      <c r="S175" s="151"/>
      <c r="T175" s="151"/>
      <c r="U175" s="151"/>
      <c r="V175" s="151"/>
      <c r="W175" s="151"/>
      <c r="X175" s="151"/>
    </row>
    <row r="176" spans="1:24" ht="14.1" customHeight="1">
      <c r="A176" s="367" t="str">
        <f>"Kaohsiung, "&amp;TEXT(Z6,"mmmm dd, yyyy")</f>
        <v>Kaohsiung, March 20, 2024</v>
      </c>
      <c r="B176" s="367"/>
      <c r="C176" s="367"/>
      <c r="D176" s="367"/>
      <c r="E176" s="367"/>
      <c r="F176" s="367"/>
      <c r="G176" s="367"/>
      <c r="H176" s="367"/>
      <c r="I176" s="367"/>
      <c r="J176" s="367"/>
      <c r="K176" s="367"/>
      <c r="L176" s="366" t="s">
        <v>599</v>
      </c>
      <c r="M176" s="366"/>
      <c r="N176" s="366"/>
      <c r="O176" s="366"/>
      <c r="P176" s="366"/>
      <c r="Q176" s="366"/>
      <c r="R176" s="366"/>
      <c r="S176" s="366"/>
      <c r="T176" s="366"/>
      <c r="U176" s="366"/>
      <c r="V176" s="366"/>
      <c r="W176" s="366"/>
      <c r="X176" s="366"/>
    </row>
    <row r="177" spans="1:4" ht="14.1" customHeight="1">
      <c r="A177" s="153"/>
      <c r="B177" s="153"/>
      <c r="C177" s="153"/>
      <c r="D177" s="153"/>
    </row>
    <row r="178" spans="1:4" ht="14.1" customHeight="1">
      <c r="A178" s="153"/>
      <c r="B178" s="153"/>
      <c r="C178" s="153"/>
      <c r="D178" s="153"/>
    </row>
    <row r="179" spans="1:4" ht="14.1" customHeight="1">
      <c r="A179" s="153"/>
      <c r="B179" s="153"/>
      <c r="C179" s="153"/>
      <c r="D179" s="153"/>
    </row>
    <row r="180" spans="1:4" ht="12" customHeight="1">
      <c r="A180" s="153"/>
      <c r="B180" s="153"/>
      <c r="C180" s="153"/>
      <c r="D180" s="153"/>
    </row>
    <row r="181" spans="1:4" ht="12" customHeight="1">
      <c r="A181" s="153"/>
      <c r="B181" s="153"/>
      <c r="C181" s="153"/>
      <c r="D181" s="153"/>
    </row>
    <row r="182" spans="1:4" ht="12" customHeight="1">
      <c r="A182" s="153"/>
      <c r="B182" s="153"/>
      <c r="C182" s="153"/>
      <c r="D182" s="153"/>
    </row>
    <row r="183" spans="1:4" ht="12" customHeight="1">
      <c r="A183" s="153"/>
      <c r="B183" s="153"/>
      <c r="C183" s="153"/>
      <c r="D183" s="153"/>
    </row>
    <row r="184" spans="1:4" ht="12" customHeight="1">
      <c r="A184" s="153"/>
      <c r="B184" s="153"/>
      <c r="C184" s="153"/>
      <c r="D184" s="153"/>
    </row>
    <row r="185" spans="1:4" ht="12" customHeight="1">
      <c r="A185" s="153"/>
      <c r="B185" s="153"/>
      <c r="C185" s="153"/>
      <c r="D185" s="153"/>
    </row>
  </sheetData>
  <mergeCells count="79">
    <mergeCell ref="E38:X38"/>
    <mergeCell ref="E40:X40"/>
    <mergeCell ref="E66:X66"/>
    <mergeCell ref="A174:X174"/>
    <mergeCell ref="E34:X34"/>
    <mergeCell ref="A176:K176"/>
    <mergeCell ref="A172:D172"/>
    <mergeCell ref="E172:X172"/>
    <mergeCell ref="A66:D66"/>
    <mergeCell ref="I71:T71"/>
    <mergeCell ref="A5:X5"/>
    <mergeCell ref="J2:X2"/>
    <mergeCell ref="A7:X7"/>
    <mergeCell ref="E12:H12"/>
    <mergeCell ref="A2:I2"/>
    <mergeCell ref="I12:L12"/>
    <mergeCell ref="M12:P12"/>
    <mergeCell ref="Q12:T12"/>
    <mergeCell ref="U12:X12"/>
    <mergeCell ref="A11:D11"/>
    <mergeCell ref="A9:D9"/>
    <mergeCell ref="A10:D10"/>
    <mergeCell ref="E9:X9"/>
    <mergeCell ref="E10:X11"/>
    <mergeCell ref="A40:D40"/>
    <mergeCell ref="P44:X44"/>
    <mergeCell ref="A166:D166"/>
    <mergeCell ref="E166:X166"/>
    <mergeCell ref="A75:D75"/>
    <mergeCell ref="E75:X75"/>
    <mergeCell ref="E68:H68"/>
    <mergeCell ref="E69:H69"/>
    <mergeCell ref="E70:H70"/>
    <mergeCell ref="E71:H71"/>
    <mergeCell ref="U71:X71"/>
    <mergeCell ref="I72:T72"/>
    <mergeCell ref="U72:X72"/>
    <mergeCell ref="I73:T73"/>
    <mergeCell ref="U73:X73"/>
    <mergeCell ref="E72:H72"/>
    <mergeCell ref="L176:X176"/>
    <mergeCell ref="A1:X1"/>
    <mergeCell ref="A8:X8"/>
    <mergeCell ref="A31:X31"/>
    <mergeCell ref="A41:X41"/>
    <mergeCell ref="A57:D62"/>
    <mergeCell ref="A32:D32"/>
    <mergeCell ref="A34:D34"/>
    <mergeCell ref="E32:X32"/>
    <mergeCell ref="I70:T70"/>
    <mergeCell ref="U70:X70"/>
    <mergeCell ref="A36:D36"/>
    <mergeCell ref="E36:X36"/>
    <mergeCell ref="A38:D38"/>
    <mergeCell ref="I68:T68"/>
    <mergeCell ref="U68:X68"/>
    <mergeCell ref="E168:X168"/>
    <mergeCell ref="E170:X170"/>
    <mergeCell ref="A47:D47"/>
    <mergeCell ref="A49:D49"/>
    <mergeCell ref="A51:D51"/>
    <mergeCell ref="A53:D53"/>
    <mergeCell ref="E47:X47"/>
    <mergeCell ref="E49:X49"/>
    <mergeCell ref="E51:X51"/>
    <mergeCell ref="E53:X53"/>
    <mergeCell ref="I69:T69"/>
    <mergeCell ref="E73:H73"/>
    <mergeCell ref="U69:X69"/>
    <mergeCell ref="E45:O45"/>
    <mergeCell ref="P45:X45"/>
    <mergeCell ref="A42:D43"/>
    <mergeCell ref="A55:D55"/>
    <mergeCell ref="E55:X55"/>
    <mergeCell ref="E42:O42"/>
    <mergeCell ref="P42:X42"/>
    <mergeCell ref="E43:O43"/>
    <mergeCell ref="P43:X43"/>
    <mergeCell ref="E44:O44"/>
  </mergeCells>
  <phoneticPr fontId="2" type="noConversion"/>
  <printOptions horizontalCentered="1"/>
  <pageMargins left="0.5" right="0.5" top="2.2480314960629921" bottom="1.4173228346456694" header="0.31496062992125984" footer="0.31496062992125984"/>
  <pageSetup paperSize="9" orientation="portrait" r:id="rId1"/>
  <rowBreaks count="1" manualBreakCount="1">
    <brk id="40" max="23" man="1"/>
  </rowBreaks>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工作表5.HideEmptyRows">
                <anchor moveWithCells="1" sizeWithCells="1">
                  <from>
                    <xdr:col>25</xdr:col>
                    <xdr:colOff>95250</xdr:colOff>
                    <xdr:row>0</xdr:row>
                    <xdr:rowOff>123825</xdr:rowOff>
                  </from>
                  <to>
                    <xdr:col>25</xdr:col>
                    <xdr:colOff>1181100</xdr:colOff>
                    <xdr:row>2</xdr:row>
                    <xdr:rowOff>123825</xdr:rowOff>
                  </to>
                </anchor>
              </controlPr>
            </control>
          </mc:Choice>
        </mc:AlternateContent>
        <mc:AlternateContent xmlns:mc="http://schemas.openxmlformats.org/markup-compatibility/2006">
          <mc:Choice Requires="x14">
            <control shapeId="7169" r:id="rId5" name="Button 1">
              <controlPr defaultSize="0" print="0" autoFill="0" autoPict="0" macro="[0]!CopyToWordWithMargins">
                <anchor moveWithCells="1" sizeWithCells="1">
                  <from>
                    <xdr:col>26</xdr:col>
                    <xdr:colOff>104775</xdr:colOff>
                    <xdr:row>3</xdr:row>
                    <xdr:rowOff>47625</xdr:rowOff>
                  </from>
                  <to>
                    <xdr:col>29</xdr:col>
                    <xdr:colOff>371475</xdr:colOff>
                    <xdr:row>6</xdr:row>
                    <xdr:rowOff>9525</xdr:rowOff>
                  </to>
                </anchor>
              </controlPr>
            </control>
          </mc:Choice>
        </mc:AlternateContent>
        <mc:AlternateContent xmlns:mc="http://schemas.openxmlformats.org/markup-compatibility/2006">
          <mc:Choice Requires="x14">
            <control shapeId="7174" r:id="rId6" name="Button 6">
              <controlPr defaultSize="0" print="0" autoFill="0" autoPict="0" macro="[0]!PrintToPDF">
                <anchor moveWithCells="1" sizeWithCells="1">
                  <from>
                    <xdr:col>26</xdr:col>
                    <xdr:colOff>104775</xdr:colOff>
                    <xdr:row>6</xdr:row>
                    <xdr:rowOff>485775</xdr:rowOff>
                  </from>
                  <to>
                    <xdr:col>29</xdr:col>
                    <xdr:colOff>371475</xdr:colOff>
                    <xdr:row>9</xdr:row>
                    <xdr:rowOff>85725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AL96"/>
  <sheetViews>
    <sheetView view="pageBreakPreview" topLeftCell="A13" zoomScaleNormal="100" workbookViewId="0">
      <selection activeCell="AH25" sqref="AH25"/>
    </sheetView>
  </sheetViews>
  <sheetFormatPr defaultColWidth="9" defaultRowHeight="15"/>
  <cols>
    <col min="1" max="63" width="3.625" style="17" customWidth="1"/>
    <col min="64" max="16384" width="9" style="17"/>
  </cols>
  <sheetData>
    <row r="1" spans="1:27" ht="18" customHeight="1"/>
    <row r="2" spans="1:27" ht="18" customHeight="1">
      <c r="E2" s="18"/>
      <c r="F2" s="19"/>
    </row>
    <row r="3" spans="1:27" ht="18" customHeight="1">
      <c r="E3" s="18"/>
      <c r="F3" s="18"/>
    </row>
    <row r="4" spans="1:27" ht="18" customHeight="1"/>
    <row r="5" spans="1:27" ht="18" customHeight="1">
      <c r="A5" s="20" t="s">
        <v>8</v>
      </c>
      <c r="B5" s="20"/>
      <c r="C5" s="20"/>
      <c r="D5" s="20"/>
      <c r="E5" s="20"/>
      <c r="F5" s="20"/>
      <c r="T5" s="2"/>
      <c r="U5" s="2"/>
      <c r="V5" s="2"/>
      <c r="W5" s="12" t="s">
        <v>0</v>
      </c>
      <c r="X5" s="10" t="e">
        <f>#REF!</f>
        <v>#REF!</v>
      </c>
      <c r="Y5" s="10"/>
      <c r="Z5" s="10"/>
      <c r="AA5" s="21"/>
    </row>
    <row r="6" spans="1:27" ht="18" customHeight="1">
      <c r="AA6" s="13" t="s">
        <v>5</v>
      </c>
    </row>
    <row r="7" spans="1:27" s="70" customFormat="1" ht="18" customHeight="1">
      <c r="A7" s="3" t="e">
        <f>#REF!</f>
        <v>#REF!</v>
      </c>
      <c r="B7" s="3"/>
      <c r="C7" s="3"/>
      <c r="D7" s="3"/>
      <c r="E7" s="8"/>
      <c r="F7" s="4" t="s">
        <v>6</v>
      </c>
      <c r="G7" s="5" t="e">
        <f>#REF!</f>
        <v>#REF!</v>
      </c>
      <c r="H7" s="1"/>
      <c r="I7" s="8"/>
      <c r="J7" s="14"/>
      <c r="K7" s="14"/>
      <c r="L7" s="14"/>
      <c r="M7" s="14"/>
      <c r="N7" s="14"/>
      <c r="O7" s="14"/>
      <c r="P7" s="14"/>
      <c r="Q7" s="14"/>
      <c r="R7" s="14"/>
      <c r="S7" s="14"/>
      <c r="T7" s="14"/>
      <c r="U7" s="14"/>
      <c r="V7" s="14"/>
    </row>
    <row r="8" spans="1:27" s="70" customFormat="1" ht="18" customHeight="1">
      <c r="A8" s="3" t="e">
        <f>#REF!</f>
        <v>#REF!</v>
      </c>
      <c r="B8" s="5"/>
      <c r="C8" s="5"/>
      <c r="D8" s="5"/>
      <c r="E8" s="8"/>
      <c r="F8" s="4" t="s">
        <v>6</v>
      </c>
      <c r="G8" s="5" t="e">
        <f>#REF!</f>
        <v>#REF!</v>
      </c>
      <c r="H8" s="1"/>
      <c r="I8" s="8"/>
    </row>
    <row r="9" spans="1:27" s="70" customFormat="1" ht="18" customHeight="1">
      <c r="A9" s="3" t="e">
        <f>#REF!</f>
        <v>#REF!</v>
      </c>
      <c r="B9" s="3"/>
      <c r="C9" s="3"/>
      <c r="D9" s="3"/>
      <c r="E9" s="8"/>
      <c r="F9" s="4" t="s">
        <v>6</v>
      </c>
      <c r="G9" s="5" t="e">
        <f>#REF!</f>
        <v>#REF!</v>
      </c>
      <c r="H9" s="1"/>
      <c r="I9" s="8"/>
    </row>
    <row r="10" spans="1:27" s="70" customFormat="1" ht="18" hidden="1" customHeight="1">
      <c r="A10" s="3" t="e">
        <f>#REF!</f>
        <v>#REF!</v>
      </c>
      <c r="B10" s="3"/>
      <c r="C10" s="3"/>
      <c r="D10" s="3"/>
      <c r="E10" s="8"/>
      <c r="F10" s="4" t="s">
        <v>6</v>
      </c>
      <c r="G10" s="5" t="e">
        <f>#REF!</f>
        <v>#REF!</v>
      </c>
      <c r="H10" s="1"/>
      <c r="I10" s="8"/>
    </row>
    <row r="11" spans="1:27" s="70" customFormat="1" ht="18" customHeight="1">
      <c r="A11" s="3" t="e">
        <f>#REF!</f>
        <v>#REF!</v>
      </c>
      <c r="B11" s="3"/>
      <c r="C11" s="3"/>
      <c r="D11" s="3"/>
      <c r="E11" s="8"/>
      <c r="F11" s="4" t="s">
        <v>6</v>
      </c>
      <c r="G11" s="5" t="e">
        <f>#REF!</f>
        <v>#REF!</v>
      </c>
      <c r="H11" s="1"/>
      <c r="I11" s="8"/>
    </row>
    <row r="12" spans="1:27" s="70" customFormat="1" ht="18" customHeight="1">
      <c r="A12" s="3" t="e">
        <f>#REF!</f>
        <v>#REF!</v>
      </c>
      <c r="B12" s="3"/>
      <c r="C12" s="3"/>
      <c r="D12" s="3"/>
      <c r="E12" s="8"/>
      <c r="F12" s="4" t="s">
        <v>6</v>
      </c>
      <c r="G12" s="5" t="e">
        <f>#REF!</f>
        <v>#REF!</v>
      </c>
      <c r="H12" s="1"/>
      <c r="I12" s="8"/>
    </row>
    <row r="13" spans="1:27" s="70" customFormat="1" ht="18" customHeight="1">
      <c r="A13" s="3" t="e">
        <f>#REF!</f>
        <v>#REF!</v>
      </c>
      <c r="B13" s="3"/>
      <c r="C13" s="3"/>
      <c r="D13" s="3"/>
      <c r="E13" s="8"/>
      <c r="F13" s="4" t="s">
        <v>6</v>
      </c>
      <c r="G13" s="5" t="e">
        <f>#REF!</f>
        <v>#REF!</v>
      </c>
      <c r="H13" s="1"/>
      <c r="I13" s="8"/>
    </row>
    <row r="14" spans="1:27" s="70" customFormat="1" ht="18" hidden="1" customHeight="1">
      <c r="A14" s="3" t="e">
        <f>#REF!</f>
        <v>#REF!</v>
      </c>
      <c r="B14" s="3"/>
      <c r="C14" s="3"/>
      <c r="D14" s="3"/>
      <c r="E14" s="8"/>
      <c r="F14" s="4" t="s">
        <v>6</v>
      </c>
      <c r="G14" s="5" t="e">
        <f>#REF!</f>
        <v>#REF!</v>
      </c>
      <c r="H14" s="1"/>
      <c r="I14" s="8"/>
    </row>
    <row r="15" spans="1:27" s="70" customFormat="1" ht="18" hidden="1" customHeight="1">
      <c r="A15" s="3" t="e">
        <f>#REF!</f>
        <v>#REF!</v>
      </c>
      <c r="B15" s="3"/>
      <c r="C15" s="3"/>
      <c r="D15" s="3"/>
      <c r="E15" s="8"/>
      <c r="F15" s="4" t="s">
        <v>6</v>
      </c>
      <c r="G15" s="5" t="e">
        <f>#REF!</f>
        <v>#REF!</v>
      </c>
      <c r="H15" s="1"/>
      <c r="I15" s="8"/>
    </row>
    <row r="16" spans="1:27" s="70" customFormat="1" ht="18" hidden="1" customHeight="1">
      <c r="A16" s="3" t="e">
        <f>#REF!</f>
        <v>#REF!</v>
      </c>
      <c r="B16" s="3"/>
      <c r="C16" s="3"/>
      <c r="D16" s="3"/>
      <c r="E16" s="8"/>
      <c r="F16" s="4" t="s">
        <v>6</v>
      </c>
      <c r="G16" s="5" t="e">
        <f>#REF!</f>
        <v>#REF!</v>
      </c>
      <c r="H16" s="71"/>
      <c r="I16" s="15"/>
      <c r="Y16" s="14"/>
    </row>
    <row r="17" spans="1:31" s="70" customFormat="1" ht="18" customHeight="1" thickBot="1">
      <c r="A17" s="3"/>
      <c r="B17" s="3"/>
      <c r="C17" s="3"/>
      <c r="D17" s="3"/>
      <c r="E17" s="3"/>
      <c r="F17" s="3"/>
      <c r="G17" s="3"/>
      <c r="H17" s="71"/>
      <c r="I17" s="15"/>
      <c r="V17" s="22"/>
      <c r="AA17" s="13" t="s">
        <v>5</v>
      </c>
    </row>
    <row r="18" spans="1:31" s="70" customFormat="1" ht="18" customHeight="1" thickTop="1">
      <c r="A18" s="391" t="s">
        <v>17</v>
      </c>
      <c r="B18" s="384"/>
      <c r="C18" s="384"/>
      <c r="D18" s="384"/>
      <c r="E18" s="384"/>
      <c r="F18" s="384"/>
      <c r="G18" s="384"/>
      <c r="H18" s="384"/>
      <c r="I18" s="384"/>
      <c r="J18" s="384"/>
      <c r="K18" s="384"/>
      <c r="L18" s="384"/>
      <c r="M18" s="384"/>
      <c r="N18" s="384"/>
      <c r="O18" s="384"/>
      <c r="P18" s="384"/>
      <c r="Q18" s="384"/>
      <c r="R18" s="383" t="s">
        <v>18</v>
      </c>
      <c r="S18" s="384"/>
      <c r="T18" s="384"/>
      <c r="U18" s="384"/>
      <c r="V18" s="384"/>
      <c r="W18" s="389"/>
      <c r="X18" s="383" t="s">
        <v>1</v>
      </c>
      <c r="Y18" s="384"/>
      <c r="Z18" s="385"/>
      <c r="AB18" s="23"/>
      <c r="AC18" s="23"/>
      <c r="AD18" s="23"/>
    </row>
    <row r="19" spans="1:31" s="70" customFormat="1" ht="18" customHeight="1">
      <c r="A19" s="392"/>
      <c r="B19" s="393"/>
      <c r="C19" s="393"/>
      <c r="D19" s="393"/>
      <c r="E19" s="393"/>
      <c r="F19" s="393"/>
      <c r="G19" s="393"/>
      <c r="H19" s="393"/>
      <c r="I19" s="393"/>
      <c r="J19" s="393"/>
      <c r="K19" s="393"/>
      <c r="L19" s="393"/>
      <c r="M19" s="393"/>
      <c r="N19" s="393"/>
      <c r="O19" s="393"/>
      <c r="P19" s="393"/>
      <c r="Q19" s="393"/>
      <c r="R19" s="386" t="s">
        <v>14</v>
      </c>
      <c r="S19" s="387"/>
      <c r="T19" s="387"/>
      <c r="U19" s="387"/>
      <c r="V19" s="387"/>
      <c r="W19" s="390"/>
      <c r="X19" s="386" t="s">
        <v>2</v>
      </c>
      <c r="Y19" s="387"/>
      <c r="Z19" s="388"/>
      <c r="AB19" s="23"/>
      <c r="AC19" s="23"/>
      <c r="AD19" s="23"/>
    </row>
    <row r="20" spans="1:31" s="70" customFormat="1" ht="18" customHeight="1">
      <c r="A20" s="392"/>
      <c r="B20" s="393"/>
      <c r="C20" s="393"/>
      <c r="D20" s="393"/>
      <c r="E20" s="393"/>
      <c r="F20" s="393"/>
      <c r="G20" s="393"/>
      <c r="H20" s="393"/>
      <c r="I20" s="393"/>
      <c r="J20" s="393"/>
      <c r="K20" s="393"/>
      <c r="L20" s="393"/>
      <c r="M20" s="393"/>
      <c r="N20" s="393"/>
      <c r="O20" s="393"/>
      <c r="P20" s="393"/>
      <c r="Q20" s="393"/>
      <c r="R20" s="394" t="s">
        <v>3</v>
      </c>
      <c r="S20" s="395"/>
      <c r="T20" s="395"/>
      <c r="U20" s="394" t="s">
        <v>9</v>
      </c>
      <c r="V20" s="395"/>
      <c r="W20" s="396"/>
      <c r="X20" s="395" t="s">
        <v>4</v>
      </c>
      <c r="Y20" s="395"/>
      <c r="Z20" s="406"/>
      <c r="AB20" s="24"/>
      <c r="AC20" s="24"/>
      <c r="AD20" s="23"/>
    </row>
    <row r="21" spans="1:31" s="70" customFormat="1" ht="30" customHeight="1">
      <c r="A21" s="397" t="str">
        <f>'Origin-SGS'!A5:Z5</f>
        <v>CERTIFICATE OF ORIGIN</v>
      </c>
      <c r="B21" s="398"/>
      <c r="C21" s="398"/>
      <c r="D21" s="398"/>
      <c r="E21" s="398"/>
      <c r="F21" s="398"/>
      <c r="G21" s="398"/>
      <c r="H21" s="398"/>
      <c r="I21" s="398"/>
      <c r="J21" s="398"/>
      <c r="K21" s="398"/>
      <c r="L21" s="398"/>
      <c r="M21" s="398"/>
      <c r="N21" s="398"/>
      <c r="O21" s="398"/>
      <c r="P21" s="398"/>
      <c r="Q21" s="399"/>
      <c r="R21" s="407">
        <v>0</v>
      </c>
      <c r="S21" s="408"/>
      <c r="T21" s="409"/>
      <c r="U21" s="407">
        <v>1</v>
      </c>
      <c r="V21" s="408"/>
      <c r="W21" s="409"/>
      <c r="X21" s="407">
        <v>1</v>
      </c>
      <c r="Y21" s="408"/>
      <c r="Z21" s="410"/>
      <c r="AA21" s="25"/>
      <c r="AB21" s="24"/>
      <c r="AC21" s="24"/>
      <c r="AD21" s="23"/>
    </row>
    <row r="22" spans="1:31" s="70" customFormat="1" ht="30" customHeight="1">
      <c r="A22" s="397" t="e">
        <f>#REF!</f>
        <v>#REF!</v>
      </c>
      <c r="B22" s="398"/>
      <c r="C22" s="398"/>
      <c r="D22" s="398"/>
      <c r="E22" s="398"/>
      <c r="F22" s="398"/>
      <c r="G22" s="398"/>
      <c r="H22" s="398"/>
      <c r="I22" s="398"/>
      <c r="J22" s="398"/>
      <c r="K22" s="398"/>
      <c r="L22" s="398"/>
      <c r="M22" s="398"/>
      <c r="N22" s="398"/>
      <c r="O22" s="398"/>
      <c r="P22" s="398"/>
      <c r="Q22" s="399"/>
      <c r="R22" s="407">
        <v>0</v>
      </c>
      <c r="S22" s="408"/>
      <c r="T22" s="409"/>
      <c r="U22" s="407">
        <v>1</v>
      </c>
      <c r="V22" s="408"/>
      <c r="W22" s="409"/>
      <c r="X22" s="407">
        <v>1</v>
      </c>
      <c r="Y22" s="408"/>
      <c r="Z22" s="410"/>
      <c r="AA22" s="25"/>
      <c r="AB22" s="24"/>
      <c r="AC22" s="24"/>
      <c r="AD22" s="23"/>
    </row>
    <row r="23" spans="1:31" s="70" customFormat="1" ht="30" customHeight="1">
      <c r="A23" s="400" t="e">
        <f>#REF!</f>
        <v>#REF!</v>
      </c>
      <c r="B23" s="401"/>
      <c r="C23" s="401"/>
      <c r="D23" s="401"/>
      <c r="E23" s="401"/>
      <c r="F23" s="401"/>
      <c r="G23" s="401"/>
      <c r="H23" s="401"/>
      <c r="I23" s="401"/>
      <c r="J23" s="401"/>
      <c r="K23" s="401"/>
      <c r="L23" s="401"/>
      <c r="M23" s="401"/>
      <c r="N23" s="401"/>
      <c r="O23" s="401"/>
      <c r="P23" s="401"/>
      <c r="Q23" s="402"/>
      <c r="R23" s="407">
        <v>0</v>
      </c>
      <c r="S23" s="408"/>
      <c r="T23" s="409"/>
      <c r="U23" s="407">
        <v>1</v>
      </c>
      <c r="V23" s="408"/>
      <c r="W23" s="409"/>
      <c r="X23" s="407">
        <v>1</v>
      </c>
      <c r="Y23" s="408"/>
      <c r="Z23" s="410"/>
      <c r="AA23" s="26" t="s">
        <v>7</v>
      </c>
      <c r="AB23" s="23"/>
      <c r="AC23" s="23"/>
      <c r="AD23" s="23"/>
    </row>
    <row r="24" spans="1:31" s="70" customFormat="1" ht="30" customHeight="1">
      <c r="A24" s="397" t="e">
        <f>#REF!</f>
        <v>#REF!</v>
      </c>
      <c r="B24" s="398"/>
      <c r="C24" s="398"/>
      <c r="D24" s="398"/>
      <c r="E24" s="398"/>
      <c r="F24" s="398"/>
      <c r="G24" s="398"/>
      <c r="H24" s="398"/>
      <c r="I24" s="398"/>
      <c r="J24" s="398"/>
      <c r="K24" s="398"/>
      <c r="L24" s="398"/>
      <c r="M24" s="398"/>
      <c r="N24" s="398"/>
      <c r="O24" s="398"/>
      <c r="P24" s="398"/>
      <c r="Q24" s="399"/>
      <c r="R24" s="407">
        <v>0</v>
      </c>
      <c r="S24" s="408"/>
      <c r="T24" s="409"/>
      <c r="U24" s="407">
        <v>1</v>
      </c>
      <c r="V24" s="408"/>
      <c r="W24" s="409"/>
      <c r="X24" s="407">
        <v>1</v>
      </c>
      <c r="Y24" s="408"/>
      <c r="Z24" s="410"/>
      <c r="AA24" s="25"/>
      <c r="AB24" s="23"/>
      <c r="AC24" s="23"/>
      <c r="AD24" s="23"/>
      <c r="AE24" s="25"/>
    </row>
    <row r="25" spans="1:31" s="70" customFormat="1" ht="30" customHeight="1">
      <c r="A25" s="403" t="e">
        <f>#REF!</f>
        <v>#REF!</v>
      </c>
      <c r="B25" s="404"/>
      <c r="C25" s="404"/>
      <c r="D25" s="404"/>
      <c r="E25" s="404"/>
      <c r="F25" s="404"/>
      <c r="G25" s="404"/>
      <c r="H25" s="404"/>
      <c r="I25" s="404"/>
      <c r="J25" s="404"/>
      <c r="K25" s="404"/>
      <c r="L25" s="404"/>
      <c r="M25" s="404"/>
      <c r="N25" s="404"/>
      <c r="O25" s="404"/>
      <c r="P25" s="404"/>
      <c r="Q25" s="405"/>
      <c r="R25" s="394">
        <v>0</v>
      </c>
      <c r="S25" s="395"/>
      <c r="T25" s="396"/>
      <c r="U25" s="407">
        <v>1</v>
      </c>
      <c r="V25" s="408"/>
      <c r="W25" s="409"/>
      <c r="X25" s="407">
        <v>1</v>
      </c>
      <c r="Y25" s="408"/>
      <c r="Z25" s="410"/>
      <c r="AA25" s="25"/>
      <c r="AE25" s="25"/>
    </row>
    <row r="26" spans="1:31" s="70" customFormat="1" ht="30" customHeight="1">
      <c r="A26" s="403" t="e">
        <f>#REF!</f>
        <v>#REF!</v>
      </c>
      <c r="B26" s="404"/>
      <c r="C26" s="404"/>
      <c r="D26" s="404"/>
      <c r="E26" s="404"/>
      <c r="F26" s="404"/>
      <c r="G26" s="404"/>
      <c r="H26" s="404"/>
      <c r="I26" s="404"/>
      <c r="J26" s="404"/>
      <c r="K26" s="404"/>
      <c r="L26" s="404"/>
      <c r="M26" s="404"/>
      <c r="N26" s="404"/>
      <c r="O26" s="404"/>
      <c r="P26" s="404"/>
      <c r="Q26" s="405"/>
      <c r="R26" s="407">
        <v>0</v>
      </c>
      <c r="S26" s="408"/>
      <c r="T26" s="409"/>
      <c r="U26" s="407">
        <v>1</v>
      </c>
      <c r="V26" s="408"/>
      <c r="W26" s="409"/>
      <c r="X26" s="407">
        <v>1</v>
      </c>
      <c r="Y26" s="408"/>
      <c r="Z26" s="410"/>
      <c r="AA26" s="25"/>
      <c r="AE26" s="27"/>
    </row>
    <row r="27" spans="1:31" s="70" customFormat="1" ht="30" customHeight="1">
      <c r="A27" s="397" t="e">
        <f>#REF!</f>
        <v>#REF!</v>
      </c>
      <c r="B27" s="398"/>
      <c r="C27" s="398"/>
      <c r="D27" s="398"/>
      <c r="E27" s="398"/>
      <c r="F27" s="398"/>
      <c r="G27" s="398"/>
      <c r="H27" s="398"/>
      <c r="I27" s="398"/>
      <c r="J27" s="398"/>
      <c r="K27" s="398"/>
      <c r="L27" s="398"/>
      <c r="M27" s="398"/>
      <c r="N27" s="398"/>
      <c r="O27" s="398"/>
      <c r="P27" s="398"/>
      <c r="Q27" s="399"/>
      <c r="R27" s="407">
        <v>0</v>
      </c>
      <c r="S27" s="408"/>
      <c r="T27" s="409"/>
      <c r="U27" s="407">
        <v>1</v>
      </c>
      <c r="V27" s="408"/>
      <c r="W27" s="409"/>
      <c r="X27" s="407">
        <v>1</v>
      </c>
      <c r="Y27" s="408"/>
      <c r="Z27" s="410"/>
      <c r="AA27" s="25"/>
      <c r="AE27" s="25"/>
    </row>
    <row r="28" spans="1:31" s="70" customFormat="1" ht="30" customHeight="1" thickBot="1">
      <c r="A28" s="415" t="str">
        <f>A5</f>
        <v>MASTER RECEIPT OF DOCUMENTS</v>
      </c>
      <c r="B28" s="416"/>
      <c r="C28" s="416"/>
      <c r="D28" s="416"/>
      <c r="E28" s="416"/>
      <c r="F28" s="416"/>
      <c r="G28" s="416"/>
      <c r="H28" s="416"/>
      <c r="I28" s="416"/>
      <c r="J28" s="416"/>
      <c r="K28" s="416"/>
      <c r="L28" s="416"/>
      <c r="M28" s="416"/>
      <c r="N28" s="416"/>
      <c r="O28" s="416"/>
      <c r="P28" s="416"/>
      <c r="Q28" s="417"/>
      <c r="R28" s="411">
        <v>0</v>
      </c>
      <c r="S28" s="412"/>
      <c r="T28" s="413"/>
      <c r="U28" s="411">
        <v>1</v>
      </c>
      <c r="V28" s="412"/>
      <c r="W28" s="413"/>
      <c r="X28" s="411">
        <v>1</v>
      </c>
      <c r="Y28" s="412"/>
      <c r="Z28" s="414"/>
      <c r="AA28" s="25"/>
      <c r="AE28" s="25"/>
    </row>
    <row r="29" spans="1:31" s="70" customFormat="1" ht="18" customHeight="1" thickTop="1">
      <c r="AA29" s="14"/>
    </row>
    <row r="30" spans="1:31" s="70" customFormat="1" ht="18" customHeight="1"/>
    <row r="31" spans="1:31" s="70" customFormat="1" ht="18" customHeight="1"/>
    <row r="32" spans="1:31" s="70" customFormat="1" ht="18" customHeight="1"/>
    <row r="33" spans="1:38" s="70" customFormat="1" ht="18" customHeight="1"/>
    <row r="34" spans="1:38" s="70" customFormat="1" ht="18" customHeight="1"/>
    <row r="35" spans="1:38" s="70" customFormat="1" ht="18" customHeight="1"/>
    <row r="36" spans="1:38" s="23" customFormat="1" ht="18" customHeight="1"/>
    <row r="37" spans="1:38" s="70" customFormat="1" ht="18" customHeight="1"/>
    <row r="38" spans="1:38" s="70" customFormat="1" ht="18" customHeight="1">
      <c r="A38" s="28"/>
      <c r="B38" s="28"/>
      <c r="C38" s="28"/>
      <c r="D38" s="28"/>
      <c r="E38" s="28"/>
      <c r="F38" s="28"/>
      <c r="G38" s="23"/>
      <c r="U38" s="28"/>
      <c r="V38" s="29"/>
      <c r="W38" s="29"/>
      <c r="X38" s="29"/>
      <c r="Y38" s="29"/>
      <c r="Z38" s="29"/>
    </row>
    <row r="39" spans="1:38" ht="18" customHeight="1">
      <c r="A39" s="30" t="e">
        <f>+"Master of "&amp;G7&amp;""</f>
        <v>#REF!</v>
      </c>
      <c r="B39" s="30"/>
      <c r="C39" s="30"/>
      <c r="D39" s="30"/>
      <c r="G39" s="31"/>
      <c r="H39" s="14"/>
      <c r="I39" s="14"/>
      <c r="J39" s="14"/>
      <c r="K39" s="14"/>
      <c r="L39" s="14"/>
      <c r="M39" s="14"/>
      <c r="N39" s="14"/>
      <c r="O39" s="14"/>
      <c r="P39" s="14"/>
      <c r="U39" s="9" t="s">
        <v>15</v>
      </c>
    </row>
    <row r="40" spans="1:38" ht="18" customHeight="1">
      <c r="A40" s="32"/>
      <c r="B40" s="32"/>
      <c r="C40" s="32"/>
      <c r="D40" s="72"/>
      <c r="E40" s="32"/>
      <c r="F40" s="32"/>
      <c r="G40" s="32"/>
      <c r="H40" s="32"/>
      <c r="I40" s="32"/>
      <c r="J40" s="32"/>
      <c r="K40" s="32"/>
      <c r="L40" s="32"/>
      <c r="M40" s="32"/>
      <c r="N40" s="32"/>
      <c r="O40" s="32"/>
      <c r="P40" s="32"/>
      <c r="Q40" s="32"/>
      <c r="R40" s="32"/>
      <c r="S40" s="32"/>
      <c r="T40" s="32"/>
      <c r="U40" s="32"/>
      <c r="V40" s="32"/>
      <c r="W40" s="32"/>
      <c r="X40" s="32"/>
      <c r="Y40" s="32"/>
      <c r="Z40" s="32"/>
      <c r="AA40" s="32"/>
      <c r="AB40" s="33"/>
      <c r="AC40" s="33"/>
      <c r="AD40" s="33"/>
      <c r="AE40" s="33"/>
      <c r="AF40" s="33"/>
      <c r="AG40" s="33"/>
      <c r="AH40" s="33"/>
      <c r="AI40" s="33"/>
      <c r="AJ40" s="33"/>
      <c r="AK40" s="33"/>
      <c r="AL40" s="33"/>
    </row>
    <row r="41" spans="1:38" ht="15" customHeight="1"/>
    <row r="42" spans="1:38" ht="15" customHeight="1"/>
    <row r="43" spans="1:38" ht="15" customHeight="1"/>
    <row r="44" spans="1:38" ht="15" customHeight="1"/>
    <row r="45" spans="1:38" ht="15" customHeight="1"/>
    <row r="46" spans="1:38" ht="15" customHeight="1"/>
    <row r="47" spans="1:38" ht="15" customHeight="1"/>
    <row r="48" spans="1:38" ht="15" customHeight="1"/>
    <row r="49" ht="15" customHeight="1"/>
    <row r="50" ht="15" customHeight="1"/>
    <row r="51" ht="15" customHeight="1"/>
    <row r="52" ht="15" customHeight="1"/>
    <row r="53" ht="15" customHeight="1"/>
    <row r="54" ht="15" customHeight="1"/>
    <row r="55" ht="15" customHeight="1"/>
    <row r="56" ht="15" customHeight="1"/>
    <row r="57" ht="15" customHeight="1"/>
    <row r="58" ht="13.5" customHeight="1"/>
    <row r="59" ht="13.5" customHeight="1"/>
    <row r="60" ht="13.5" customHeight="1"/>
    <row r="61" ht="13.5" customHeight="1"/>
    <row r="62" ht="13.5" customHeight="1"/>
    <row r="63" ht="13.5" customHeight="1"/>
    <row r="64" ht="13.5" customHeight="1"/>
    <row r="65" ht="13.5" customHeight="1"/>
    <row r="66" ht="13.5" customHeight="1"/>
    <row r="67" ht="13.5" customHeight="1"/>
    <row r="68" ht="13.5" customHeight="1"/>
    <row r="69" ht="13.5" customHeight="1"/>
    <row r="70" ht="13.5" customHeight="1"/>
    <row r="71" ht="13.5" customHeight="1"/>
    <row r="72" ht="13.5" customHeight="1"/>
    <row r="73" ht="13.5" customHeight="1"/>
    <row r="74" ht="13.5" customHeight="1"/>
    <row r="75" ht="13.5" customHeight="1"/>
    <row r="76" ht="13.5" customHeight="1"/>
    <row r="77" ht="13.5" customHeight="1"/>
    <row r="78" ht="13.5" customHeight="1"/>
    <row r="79" ht="13.5" customHeight="1"/>
    <row r="80" ht="13.5" customHeight="1"/>
    <row r="81" ht="13.5" customHeight="1"/>
    <row r="82" ht="13.5" customHeight="1"/>
    <row r="83" ht="13.5" customHeight="1"/>
    <row r="84" ht="13.5" customHeight="1"/>
    <row r="85" ht="13.5" customHeight="1"/>
    <row r="86" ht="13.5" customHeight="1"/>
    <row r="87" ht="13.5" customHeight="1"/>
    <row r="88" ht="13.5" customHeight="1"/>
    <row r="89" ht="13.5" customHeight="1"/>
    <row r="90" ht="13.5" customHeight="1"/>
    <row r="91" ht="13.5" customHeight="1"/>
    <row r="92" ht="13.5" customHeight="1"/>
    <row r="93" ht="13.5" customHeight="1"/>
    <row r="94" ht="13.5" customHeight="1"/>
    <row r="95" ht="13.5" customHeight="1"/>
    <row r="96" ht="13.5" customHeight="1"/>
  </sheetData>
  <mergeCells count="40">
    <mergeCell ref="U23:W23"/>
    <mergeCell ref="U27:W27"/>
    <mergeCell ref="R24:T24"/>
    <mergeCell ref="R26:T26"/>
    <mergeCell ref="U25:W25"/>
    <mergeCell ref="U24:W24"/>
    <mergeCell ref="R28:T28"/>
    <mergeCell ref="X25:Z25"/>
    <mergeCell ref="X27:Z27"/>
    <mergeCell ref="A27:Q27"/>
    <mergeCell ref="A26:Q26"/>
    <mergeCell ref="X28:Z28"/>
    <mergeCell ref="U28:W28"/>
    <mergeCell ref="U26:W26"/>
    <mergeCell ref="A28:Q28"/>
    <mergeCell ref="R27:T27"/>
    <mergeCell ref="X26:Z26"/>
    <mergeCell ref="A22:Q22"/>
    <mergeCell ref="A23:Q23"/>
    <mergeCell ref="A25:Q25"/>
    <mergeCell ref="A24:Q24"/>
    <mergeCell ref="X20:Z20"/>
    <mergeCell ref="A21:Q21"/>
    <mergeCell ref="U21:W21"/>
    <mergeCell ref="R21:T21"/>
    <mergeCell ref="X21:Z21"/>
    <mergeCell ref="U22:W22"/>
    <mergeCell ref="R23:T23"/>
    <mergeCell ref="R25:T25"/>
    <mergeCell ref="R22:T22"/>
    <mergeCell ref="X24:Z24"/>
    <mergeCell ref="X23:Z23"/>
    <mergeCell ref="X22:Z22"/>
    <mergeCell ref="X18:Z18"/>
    <mergeCell ref="X19:Z19"/>
    <mergeCell ref="R18:W18"/>
    <mergeCell ref="R19:W19"/>
    <mergeCell ref="A18:Q20"/>
    <mergeCell ref="R20:T20"/>
    <mergeCell ref="U20:W20"/>
  </mergeCells>
  <phoneticPr fontId="4" type="noConversion"/>
  <printOptions horizontalCentered="1"/>
  <pageMargins left="0.39370078740157483" right="0.39370078740157483" top="0.59055118110236227" bottom="0.78740157480314965" header="0.51181102362204722" footer="0.19685039370078741"/>
  <pageSetup paperSize="9" orientation="portrait" blackAndWhite="1" r:id="rId1"/>
  <headerFooter alignWithMargins="0">
    <oddFooter>&amp;C&amp;G</oddFooter>
  </headerFooter>
  <drawing r:id="rId2"/>
  <legacyDrawingHF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dimension ref="A1:AE70"/>
  <sheetViews>
    <sheetView view="pageBreakPreview" topLeftCell="A4" zoomScaleNormal="100" workbookViewId="0">
      <selection activeCell="AG24" sqref="AG24"/>
    </sheetView>
  </sheetViews>
  <sheetFormatPr defaultColWidth="8.75" defaultRowHeight="12.75"/>
  <cols>
    <col min="1" max="63" width="3.625" style="70" customWidth="1"/>
    <col min="64" max="16384" width="8.75" style="70"/>
  </cols>
  <sheetData>
    <row r="1" spans="1:27" s="14" customFormat="1" ht="18" customHeight="1">
      <c r="N1" s="70"/>
      <c r="O1" s="70"/>
      <c r="P1" s="70"/>
      <c r="Q1" s="70"/>
      <c r="R1" s="70"/>
      <c r="S1" s="70"/>
      <c r="T1" s="70"/>
      <c r="U1" s="70"/>
      <c r="V1" s="70"/>
      <c r="W1" s="70"/>
      <c r="X1" s="70"/>
      <c r="Y1" s="70"/>
      <c r="Z1" s="11"/>
      <c r="AA1" s="70"/>
    </row>
    <row r="2" spans="1:27" s="14" customFormat="1" ht="18" customHeight="1">
      <c r="N2" s="70"/>
      <c r="O2" s="70"/>
      <c r="P2" s="70"/>
      <c r="Q2" s="70"/>
      <c r="R2" s="70"/>
      <c r="S2" s="70"/>
      <c r="T2" s="70"/>
      <c r="U2" s="70"/>
      <c r="V2" s="70"/>
      <c r="W2" s="70"/>
      <c r="X2" s="70"/>
      <c r="Y2" s="70"/>
      <c r="Z2" s="11"/>
      <c r="AA2" s="70"/>
    </row>
    <row r="3" spans="1:27" s="14" customFormat="1" ht="18" customHeight="1"/>
    <row r="4" spans="1:27" s="14" customFormat="1" ht="18" customHeight="1">
      <c r="A4" s="46"/>
      <c r="B4" s="46"/>
      <c r="C4" s="46"/>
      <c r="D4" s="46"/>
      <c r="E4" s="46"/>
      <c r="F4" s="46"/>
      <c r="G4" s="46"/>
      <c r="H4" s="46"/>
      <c r="I4" s="46"/>
      <c r="J4" s="46"/>
      <c r="K4" s="46"/>
      <c r="L4" s="46"/>
      <c r="M4" s="46"/>
      <c r="N4" s="46"/>
      <c r="O4" s="46"/>
      <c r="P4" s="46"/>
      <c r="Q4" s="46"/>
      <c r="R4" s="46"/>
      <c r="S4" s="46"/>
      <c r="T4" s="46"/>
      <c r="U4" s="46"/>
      <c r="V4" s="46"/>
      <c r="W4" s="46"/>
      <c r="X4" s="46"/>
      <c r="Y4" s="46"/>
      <c r="Z4" s="46"/>
      <c r="AA4" s="70"/>
    </row>
    <row r="5" spans="1:27" s="14" customFormat="1" ht="18" customHeight="1">
      <c r="A5" s="419" t="s">
        <v>12</v>
      </c>
      <c r="B5" s="419"/>
      <c r="C5" s="419"/>
      <c r="D5" s="419"/>
      <c r="E5" s="419"/>
      <c r="F5" s="419"/>
      <c r="G5" s="419"/>
      <c r="H5" s="419"/>
      <c r="I5" s="419"/>
      <c r="J5" s="419"/>
      <c r="K5" s="419"/>
      <c r="L5" s="419"/>
      <c r="M5" s="419"/>
      <c r="N5" s="419"/>
      <c r="O5" s="419"/>
      <c r="P5" s="419"/>
      <c r="Q5" s="419"/>
      <c r="R5" s="419"/>
      <c r="S5" s="419"/>
      <c r="T5" s="419"/>
      <c r="U5" s="419"/>
      <c r="V5" s="419"/>
      <c r="W5" s="419"/>
      <c r="X5" s="419"/>
      <c r="Y5" s="419"/>
      <c r="Z5" s="419"/>
      <c r="AA5" s="70"/>
    </row>
    <row r="6" spans="1:27" ht="15" customHeight="1"/>
    <row r="7" spans="1:27" ht="15" customHeight="1"/>
    <row r="8" spans="1:27" ht="15" customHeight="1">
      <c r="B8" s="14"/>
      <c r="P8" s="14"/>
      <c r="Q8" s="14"/>
      <c r="R8" s="70" t="e">
        <f>+"ISSUED AT "&amp;AA8&amp;""</f>
        <v>#REF!</v>
      </c>
      <c r="S8" s="14"/>
      <c r="AA8" s="47" t="e">
        <f>#REF!</f>
        <v>#REF!</v>
      </c>
    </row>
    <row r="9" spans="1:27" ht="15" customHeight="1">
      <c r="A9" s="14"/>
      <c r="B9" s="14"/>
      <c r="C9" s="14"/>
      <c r="D9" s="14"/>
      <c r="P9" s="14"/>
      <c r="Q9" s="14"/>
      <c r="R9" s="70" t="e">
        <f>+"DATE : "&amp;AA9&amp;""</f>
        <v>#REF!</v>
      </c>
      <c r="S9" s="14"/>
      <c r="AA9" s="47" t="e">
        <f>#REF!</f>
        <v>#REF!</v>
      </c>
    </row>
    <row r="10" spans="1:27" ht="15" customHeight="1">
      <c r="A10" s="14"/>
      <c r="B10" s="14"/>
      <c r="C10" s="14"/>
      <c r="D10" s="14"/>
      <c r="P10" s="14"/>
      <c r="Q10" s="14"/>
      <c r="S10" s="14"/>
      <c r="AA10" s="47"/>
    </row>
    <row r="11" spans="1:27" ht="15" customHeight="1">
      <c r="AA11" s="48"/>
    </row>
    <row r="12" spans="1:27" ht="15" customHeight="1">
      <c r="A12" s="420" t="e">
        <f>+"THIS IS TO CERTIFY THAT THE UNDERMENTIONED COMMODITY SHIPPED PER  "&amp;AA12&amp;""</f>
        <v>#REF!</v>
      </c>
      <c r="B12" s="420"/>
      <c r="C12" s="420"/>
      <c r="D12" s="420"/>
      <c r="E12" s="420"/>
      <c r="F12" s="420"/>
      <c r="G12" s="420"/>
      <c r="H12" s="420"/>
      <c r="I12" s="420"/>
      <c r="J12" s="420"/>
      <c r="K12" s="420"/>
      <c r="L12" s="420"/>
      <c r="M12" s="420"/>
      <c r="N12" s="420"/>
      <c r="O12" s="420"/>
      <c r="P12" s="420"/>
      <c r="Q12" s="420"/>
      <c r="R12" s="420"/>
      <c r="S12" s="420"/>
      <c r="T12" s="420"/>
      <c r="U12" s="420"/>
      <c r="V12" s="420"/>
      <c r="W12" s="420"/>
      <c r="X12" s="420"/>
      <c r="Y12" s="420"/>
      <c r="Z12" s="420"/>
      <c r="AA12" s="47" t="e">
        <f>#REF!</f>
        <v>#REF!</v>
      </c>
    </row>
    <row r="13" spans="1:27" ht="15" customHeight="1">
      <c r="A13" s="421" t="e">
        <f>+"FROM "&amp;AA8&amp;" ON "&amp;AA9&amp;" WAS MANUFACTURED IN TAIWAN"</f>
        <v>#REF!</v>
      </c>
      <c r="B13" s="421"/>
      <c r="C13" s="421"/>
      <c r="D13" s="421"/>
      <c r="E13" s="421"/>
      <c r="F13" s="421"/>
      <c r="G13" s="421"/>
      <c r="H13" s="421"/>
      <c r="I13" s="421"/>
      <c r="J13" s="421"/>
      <c r="K13" s="421"/>
      <c r="L13" s="421"/>
      <c r="M13" s="421"/>
      <c r="N13" s="421"/>
      <c r="O13" s="421"/>
      <c r="P13" s="421"/>
      <c r="Q13" s="421"/>
      <c r="R13" s="421"/>
      <c r="S13" s="421"/>
      <c r="T13" s="421"/>
      <c r="U13" s="421"/>
      <c r="V13" s="421"/>
      <c r="W13" s="421"/>
      <c r="X13" s="421"/>
      <c r="Y13" s="421"/>
      <c r="Z13" s="421"/>
      <c r="AA13" s="48"/>
    </row>
    <row r="14" spans="1:27" ht="15" customHeight="1">
      <c r="AA14" s="48"/>
    </row>
    <row r="15" spans="1:27" ht="15" customHeight="1">
      <c r="A15" s="49"/>
      <c r="B15" s="49"/>
      <c r="C15" s="49"/>
      <c r="D15" s="49"/>
      <c r="E15" s="49"/>
      <c r="F15" s="49"/>
      <c r="G15" s="49"/>
      <c r="H15" s="49"/>
      <c r="I15" s="49"/>
      <c r="J15" s="49"/>
      <c r="K15" s="49"/>
      <c r="L15" s="49"/>
      <c r="M15" s="49"/>
      <c r="N15" s="49"/>
      <c r="O15" s="49"/>
      <c r="P15" s="49"/>
      <c r="Q15" s="49"/>
      <c r="R15" s="49"/>
      <c r="S15" s="49"/>
      <c r="T15" s="49"/>
      <c r="AA15" s="48"/>
    </row>
    <row r="16" spans="1:27" ht="15" customHeight="1">
      <c r="A16" s="14" t="s">
        <v>13</v>
      </c>
      <c r="AA16" s="48"/>
    </row>
    <row r="17" spans="1:31" ht="15" customHeight="1">
      <c r="E17" s="50"/>
      <c r="F17" s="50"/>
      <c r="G17" s="50"/>
      <c r="AA17" s="48"/>
    </row>
    <row r="18" spans="1:31" ht="15" customHeight="1">
      <c r="A18" s="70" t="e">
        <f>AA18</f>
        <v>#REF!</v>
      </c>
      <c r="F18" s="69" t="s">
        <v>10</v>
      </c>
      <c r="G18" s="70" t="e">
        <f>AE18</f>
        <v>#REF!</v>
      </c>
      <c r="AA18" s="47" t="e">
        <f>#REF!</f>
        <v>#REF!</v>
      </c>
      <c r="AE18" s="47" t="e">
        <f>#REF!</f>
        <v>#REF!</v>
      </c>
    </row>
    <row r="19" spans="1:31" ht="15" customHeight="1">
      <c r="F19" s="69"/>
      <c r="AA19" s="47"/>
      <c r="AE19" s="47"/>
    </row>
    <row r="20" spans="1:31" ht="15" customHeight="1"/>
    <row r="21" spans="1:31" ht="15" customHeight="1" thickBot="1">
      <c r="AA21" s="48"/>
    </row>
    <row r="22" spans="1:31" ht="24" customHeight="1" thickTop="1">
      <c r="A22" s="51"/>
      <c r="B22" s="52"/>
      <c r="C22" s="52"/>
      <c r="D22" s="52"/>
      <c r="E22" s="53"/>
      <c r="F22" s="53"/>
      <c r="G22" s="53"/>
      <c r="H22" s="54"/>
      <c r="I22" s="54"/>
      <c r="J22" s="52"/>
      <c r="K22" s="52"/>
      <c r="L22" s="52"/>
      <c r="M22" s="52"/>
      <c r="N22" s="52"/>
      <c r="O22" s="53"/>
      <c r="P22" s="53"/>
      <c r="Q22" s="53"/>
      <c r="R22" s="53"/>
      <c r="S22" s="53"/>
      <c r="T22" s="52"/>
      <c r="U22" s="52"/>
      <c r="V22" s="52"/>
      <c r="W22" s="52"/>
      <c r="X22" s="52"/>
      <c r="Y22" s="52"/>
      <c r="Z22" s="55"/>
      <c r="AA22" s="23"/>
    </row>
    <row r="23" spans="1:31" ht="24" customHeight="1">
      <c r="A23" s="56"/>
      <c r="B23" s="23"/>
      <c r="C23" s="23"/>
      <c r="D23" s="23"/>
      <c r="E23" s="23"/>
      <c r="F23" s="23"/>
      <c r="G23" s="23"/>
      <c r="H23" s="57"/>
      <c r="I23" s="57"/>
      <c r="J23" s="57"/>
      <c r="K23" s="57"/>
      <c r="L23" s="57"/>
      <c r="M23" s="57"/>
      <c r="N23" s="57"/>
      <c r="O23" s="25"/>
      <c r="Q23" s="31"/>
      <c r="R23" s="31"/>
      <c r="S23" s="31"/>
      <c r="T23" s="23"/>
      <c r="U23" s="23"/>
      <c r="V23" s="23"/>
      <c r="W23" s="23"/>
      <c r="X23" s="23"/>
      <c r="Y23" s="23"/>
      <c r="Z23" s="58"/>
      <c r="AA23" s="23"/>
    </row>
    <row r="24" spans="1:31" ht="24" customHeight="1">
      <c r="A24" s="34"/>
      <c r="B24" s="3"/>
      <c r="C24" s="68" t="s">
        <v>19</v>
      </c>
      <c r="D24" s="35"/>
      <c r="E24" s="59"/>
      <c r="F24" s="6"/>
      <c r="G24" s="6"/>
      <c r="H24" s="35" t="s">
        <v>10</v>
      </c>
      <c r="I24" s="6"/>
      <c r="J24" s="422" t="e">
        <f>#REF!</f>
        <v>#REF!</v>
      </c>
      <c r="K24" s="422"/>
      <c r="L24" s="422"/>
      <c r="M24" s="422"/>
      <c r="N24" s="422"/>
      <c r="O24" s="422"/>
      <c r="P24" s="60"/>
      <c r="Q24" s="36" t="e">
        <f>#REF!</f>
        <v>#REF!</v>
      </c>
      <c r="R24" s="36"/>
      <c r="S24" s="6"/>
      <c r="T24" s="6"/>
      <c r="U24" s="6"/>
      <c r="V24" s="3"/>
      <c r="W24" s="37"/>
      <c r="X24" s="6"/>
      <c r="Y24" s="3"/>
      <c r="Z24" s="7"/>
      <c r="AA24" s="23"/>
    </row>
    <row r="25" spans="1:31" ht="24" customHeight="1">
      <c r="A25" s="56"/>
      <c r="B25" s="23"/>
      <c r="C25" s="23"/>
      <c r="D25" s="23"/>
      <c r="E25" s="23"/>
      <c r="F25" s="23"/>
      <c r="G25" s="23"/>
      <c r="H25" s="57"/>
      <c r="I25" s="57"/>
      <c r="J25" s="57"/>
      <c r="K25" s="57"/>
      <c r="L25" s="57"/>
      <c r="M25" s="57"/>
      <c r="N25" s="57"/>
      <c r="O25" s="25"/>
      <c r="Q25" s="31"/>
      <c r="R25" s="31"/>
      <c r="S25" s="31"/>
      <c r="T25" s="23"/>
      <c r="U25" s="23"/>
      <c r="V25" s="23"/>
      <c r="W25" s="23"/>
      <c r="X25" s="23"/>
      <c r="Y25" s="23"/>
      <c r="Z25" s="58"/>
      <c r="AA25" s="23"/>
    </row>
    <row r="26" spans="1:31" ht="24" customHeight="1">
      <c r="A26" s="56"/>
      <c r="B26" s="23"/>
      <c r="C26" s="23"/>
      <c r="D26" s="23"/>
      <c r="E26" s="23"/>
      <c r="F26" s="23"/>
      <c r="G26" s="23"/>
      <c r="H26" s="57"/>
      <c r="I26" s="57"/>
      <c r="J26" s="57"/>
      <c r="K26" s="57"/>
      <c r="L26" s="57"/>
      <c r="M26" s="57"/>
      <c r="N26" s="57"/>
      <c r="O26" s="25"/>
      <c r="Q26" s="31"/>
      <c r="R26" s="31"/>
      <c r="S26" s="31"/>
      <c r="T26" s="23"/>
      <c r="U26" s="23"/>
      <c r="V26" s="23"/>
      <c r="W26" s="23"/>
      <c r="X26" s="23"/>
      <c r="Y26" s="23"/>
      <c r="Z26" s="58"/>
      <c r="AA26" s="23"/>
    </row>
    <row r="27" spans="1:31" ht="24" customHeight="1">
      <c r="A27" s="56"/>
      <c r="B27" s="23"/>
      <c r="C27" s="23"/>
      <c r="D27" s="23"/>
      <c r="E27" s="23"/>
      <c r="F27" s="23"/>
      <c r="G27" s="23"/>
      <c r="H27" s="57"/>
      <c r="I27" s="57"/>
      <c r="J27" s="57"/>
      <c r="K27" s="57"/>
      <c r="L27" s="57"/>
      <c r="M27" s="57"/>
      <c r="N27" s="57"/>
      <c r="O27" s="25"/>
      <c r="Q27" s="31"/>
      <c r="R27" s="31"/>
      <c r="S27" s="31"/>
      <c r="T27" s="23"/>
      <c r="U27" s="23"/>
      <c r="V27" s="23"/>
      <c r="W27" s="23"/>
      <c r="X27" s="23"/>
      <c r="Y27" s="23"/>
      <c r="Z27" s="58"/>
      <c r="AA27" s="23"/>
    </row>
    <row r="28" spans="1:31" ht="24" customHeight="1" thickBot="1">
      <c r="A28" s="61"/>
      <c r="B28" s="62"/>
      <c r="C28" s="62"/>
      <c r="D28" s="62"/>
      <c r="E28" s="62"/>
      <c r="F28" s="62"/>
      <c r="G28" s="62"/>
      <c r="H28" s="62"/>
      <c r="I28" s="62"/>
      <c r="J28" s="62"/>
      <c r="K28" s="62"/>
      <c r="L28" s="62"/>
      <c r="M28" s="62"/>
      <c r="N28" s="63"/>
      <c r="O28" s="62"/>
      <c r="P28" s="62"/>
      <c r="Q28" s="62"/>
      <c r="R28" s="62"/>
      <c r="S28" s="62"/>
      <c r="T28" s="62"/>
      <c r="U28" s="62"/>
      <c r="V28" s="62"/>
      <c r="W28" s="62"/>
      <c r="X28" s="62"/>
      <c r="Y28" s="62"/>
      <c r="Z28" s="64"/>
      <c r="AA28" s="23"/>
    </row>
    <row r="29" spans="1:31" ht="15" customHeight="1" thickTop="1">
      <c r="A29" s="23"/>
      <c r="B29" s="23"/>
      <c r="C29" s="23"/>
      <c r="D29" s="23"/>
      <c r="E29" s="23"/>
      <c r="F29" s="23"/>
      <c r="G29" s="23"/>
      <c r="H29" s="23"/>
      <c r="I29" s="23"/>
      <c r="J29" s="23"/>
      <c r="K29" s="23"/>
      <c r="L29" s="23"/>
      <c r="M29" s="23"/>
      <c r="N29" s="65"/>
      <c r="O29" s="23"/>
      <c r="P29" s="23"/>
      <c r="Q29" s="23"/>
      <c r="R29" s="23"/>
      <c r="S29" s="23"/>
      <c r="T29" s="23"/>
      <c r="U29" s="23"/>
      <c r="V29" s="23"/>
      <c r="W29" s="23"/>
      <c r="X29" s="23"/>
      <c r="Y29" s="23"/>
      <c r="Z29" s="23"/>
      <c r="AA29" s="23"/>
    </row>
    <row r="30" spans="1:31" ht="15" customHeight="1">
      <c r="A30" s="23"/>
      <c r="B30" s="23"/>
      <c r="C30" s="23"/>
      <c r="D30" s="23"/>
      <c r="E30" s="23"/>
      <c r="F30" s="23"/>
      <c r="G30" s="23"/>
      <c r="H30" s="23"/>
      <c r="I30" s="23"/>
      <c r="J30" s="23"/>
      <c r="K30" s="23"/>
      <c r="L30" s="23"/>
      <c r="M30" s="23"/>
      <c r="N30" s="65"/>
      <c r="O30" s="23"/>
      <c r="P30" s="23"/>
      <c r="Q30" s="23"/>
      <c r="R30" s="23"/>
      <c r="S30" s="23"/>
      <c r="T30" s="23"/>
      <c r="U30" s="23"/>
      <c r="V30" s="23"/>
      <c r="W30" s="23"/>
      <c r="X30" s="23"/>
      <c r="Y30" s="23"/>
      <c r="Z30" s="23"/>
      <c r="AA30" s="23"/>
    </row>
    <row r="31" spans="1:31" ht="15" customHeight="1">
      <c r="A31" s="23"/>
      <c r="B31" s="23"/>
      <c r="C31" s="23"/>
      <c r="D31" s="23"/>
      <c r="E31" s="23"/>
      <c r="F31" s="23"/>
      <c r="G31" s="23"/>
      <c r="H31" s="23"/>
      <c r="I31" s="23"/>
      <c r="J31" s="23"/>
      <c r="K31" s="23"/>
      <c r="L31" s="23"/>
      <c r="M31" s="23"/>
      <c r="N31" s="65"/>
      <c r="O31" s="23"/>
      <c r="P31" s="23"/>
      <c r="Q31" s="23"/>
      <c r="R31" s="23"/>
      <c r="S31" s="23"/>
      <c r="T31" s="23"/>
      <c r="U31" s="23"/>
      <c r="V31" s="23"/>
      <c r="W31" s="23"/>
      <c r="X31" s="23"/>
      <c r="Y31" s="23"/>
      <c r="Z31" s="23"/>
      <c r="AA31" s="23"/>
    </row>
    <row r="32" spans="1:31" ht="15" customHeight="1">
      <c r="A32" s="418"/>
      <c r="B32" s="418"/>
      <c r="C32" s="418"/>
      <c r="D32" s="418"/>
      <c r="E32" s="418"/>
      <c r="F32" s="69"/>
      <c r="G32" s="69"/>
    </row>
    <row r="33" spans="14:27" ht="15" customHeight="1"/>
    <row r="34" spans="14:27" ht="15" customHeight="1">
      <c r="N34" s="14"/>
      <c r="O34" s="14"/>
      <c r="P34" s="14"/>
      <c r="Q34" s="14"/>
      <c r="R34" s="14"/>
      <c r="S34" s="14"/>
      <c r="T34" s="14"/>
      <c r="U34" s="14"/>
      <c r="V34" s="14"/>
      <c r="W34" s="14"/>
      <c r="X34" s="14"/>
      <c r="Y34" s="14"/>
      <c r="Z34" s="14"/>
      <c r="AA34" s="66"/>
    </row>
    <row r="35" spans="14:27" ht="15" customHeight="1">
      <c r="P35" s="14"/>
      <c r="Q35" s="14"/>
      <c r="R35" s="39" t="s">
        <v>16</v>
      </c>
      <c r="S35" s="40"/>
      <c r="T35" s="39"/>
      <c r="U35" s="39"/>
      <c r="V35" s="39"/>
      <c r="W35" s="39"/>
      <c r="X35" s="39"/>
      <c r="Y35" s="38"/>
      <c r="Z35" s="6"/>
      <c r="AA35" s="14"/>
    </row>
    <row r="36" spans="14:27" ht="15" customHeight="1">
      <c r="P36" s="14"/>
      <c r="Q36" s="14"/>
      <c r="R36" s="39"/>
      <c r="S36" s="40"/>
      <c r="T36" s="39"/>
      <c r="U36" s="39"/>
      <c r="V36" s="39"/>
      <c r="W36" s="39"/>
      <c r="X36" s="39"/>
      <c r="Y36" s="41"/>
      <c r="Z36" s="6"/>
      <c r="AA36" s="14"/>
    </row>
    <row r="37" spans="14:27" ht="15" customHeight="1">
      <c r="P37" s="14"/>
      <c r="Q37" s="14"/>
      <c r="R37" s="39"/>
      <c r="S37" s="40"/>
      <c r="T37" s="39"/>
      <c r="U37" s="39"/>
      <c r="V37" s="39"/>
      <c r="W37" s="39"/>
      <c r="X37" s="39"/>
      <c r="Y37" s="6"/>
      <c r="Z37" s="36"/>
      <c r="AA37" s="14"/>
    </row>
    <row r="38" spans="14:27" ht="15" customHeight="1">
      <c r="N38" s="23"/>
      <c r="O38" s="23"/>
      <c r="P38" s="23"/>
      <c r="Q38" s="23"/>
      <c r="R38" s="42"/>
      <c r="S38" s="43"/>
      <c r="T38" s="42"/>
      <c r="U38" s="42"/>
      <c r="V38" s="42"/>
      <c r="W38" s="42"/>
      <c r="X38" s="42"/>
      <c r="Y38" s="6"/>
      <c r="Z38" s="38"/>
    </row>
    <row r="39" spans="14:27" ht="15" customHeight="1">
      <c r="N39" s="23"/>
      <c r="O39" s="23"/>
      <c r="P39" s="23"/>
      <c r="Q39" s="23"/>
      <c r="R39" s="45" t="s">
        <v>20</v>
      </c>
      <c r="S39" s="40"/>
      <c r="T39" s="39"/>
      <c r="U39" s="39"/>
      <c r="V39" s="39"/>
      <c r="W39" s="39"/>
      <c r="X39" s="45"/>
      <c r="Y39" s="16"/>
      <c r="Z39" s="44"/>
    </row>
    <row r="40" spans="14:27" ht="15" customHeight="1">
      <c r="N40" s="31"/>
      <c r="O40" s="31"/>
      <c r="P40" s="31"/>
      <c r="Q40" s="31"/>
      <c r="R40" s="31"/>
      <c r="S40" s="31"/>
      <c r="T40" s="31"/>
      <c r="U40" s="31"/>
      <c r="V40" s="31"/>
      <c r="W40" s="31"/>
      <c r="X40" s="31"/>
      <c r="Y40" s="31"/>
      <c r="Z40" s="31"/>
      <c r="AA40" s="23"/>
    </row>
    <row r="41" spans="14:27" ht="15" customHeight="1">
      <c r="O41" s="23"/>
    </row>
    <row r="42" spans="14:27" ht="15" customHeight="1">
      <c r="N42" s="70" t="s">
        <v>11</v>
      </c>
      <c r="O42" s="70" t="s">
        <v>11</v>
      </c>
      <c r="P42" s="67"/>
      <c r="Q42" s="67"/>
      <c r="R42" s="67"/>
      <c r="S42" s="67"/>
    </row>
    <row r="43" spans="14:27" ht="15" customHeight="1"/>
    <row r="44" spans="14:27" ht="15" customHeight="1"/>
    <row r="45" spans="14:27" ht="15" customHeight="1"/>
    <row r="46" spans="14:27" ht="15" customHeight="1"/>
    <row r="47" spans="14:27" ht="15" customHeight="1"/>
    <row r="48" spans="14:27"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20.100000000000001" customHeight="1"/>
    <row r="64" ht="20.100000000000001" customHeight="1"/>
    <row r="65" ht="20.100000000000001" customHeight="1"/>
    <row r="66" ht="20.100000000000001" customHeight="1"/>
    <row r="67" ht="20.100000000000001" customHeight="1"/>
    <row r="68" ht="20.100000000000001" customHeight="1"/>
    <row r="69" ht="20.100000000000001" customHeight="1"/>
    <row r="70" ht="20.100000000000001" customHeight="1"/>
  </sheetData>
  <mergeCells count="5">
    <mergeCell ref="A32:E32"/>
    <mergeCell ref="A5:Z5"/>
    <mergeCell ref="A12:Z12"/>
    <mergeCell ref="A13:Z13"/>
    <mergeCell ref="J24:O24"/>
  </mergeCells>
  <phoneticPr fontId="2" type="noConversion"/>
  <printOptions horizontalCentered="1"/>
  <pageMargins left="0.39370078740157483" right="0.39370078740157483" top="0.59055118110236227" bottom="0.78740157480314965" header="0.51181102362204722" footer="0.19685039370078741"/>
  <pageSetup paperSize="9" orientation="portrait" blackAndWhite="1" r:id="rId1"/>
  <headerFooter alignWithMargins="0">
    <oddFooter>&amp;C&amp;G</oddFooter>
  </headerFooter>
  <colBreaks count="1" manualBreakCount="1">
    <brk id="27" max="47" man="1"/>
  </colBreaks>
  <drawing r:id="rId2"/>
  <legacyDrawingHF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9</vt:i4>
      </vt:variant>
      <vt:variant>
        <vt:lpstr>具名範圍</vt:lpstr>
      </vt:variant>
      <vt:variant>
        <vt:i4>9</vt:i4>
      </vt:variant>
    </vt:vector>
  </HeadingPairs>
  <TitlesOfParts>
    <vt:vector size="18" baseType="lpstr">
      <vt:lpstr>船邊裝貨</vt:lpstr>
      <vt:lpstr>裝船表格</vt:lpstr>
      <vt:lpstr>裝船資訊</vt:lpstr>
      <vt:lpstr>damage表格</vt:lpstr>
      <vt:lpstr>客戶名稱</vt:lpstr>
      <vt:lpstr>工作表2</vt:lpstr>
      <vt:lpstr>草稿</vt:lpstr>
      <vt:lpstr>Doc</vt:lpstr>
      <vt:lpstr>Origin-SGS</vt:lpstr>
      <vt:lpstr>工作表2!_Hlk79142210</vt:lpstr>
      <vt:lpstr>damage表格!Print_Area</vt:lpstr>
      <vt:lpstr>Doc!Print_Area</vt:lpstr>
      <vt:lpstr>'Origin-SGS'!Print_Area</vt:lpstr>
      <vt:lpstr>草稿!Print_Area</vt:lpstr>
      <vt:lpstr>船邊裝貨!Print_Area</vt:lpstr>
      <vt:lpstr>裝船表格!Print_Area</vt:lpstr>
      <vt:lpstr>裝船資訊!Print_Area</vt:lpstr>
      <vt:lpstr>Table</vt:lpstr>
    </vt:vector>
  </TitlesOfParts>
  <Company>ＴＥＳＴ</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ＣＯＭＰＵＴＥＲ</dc:creator>
  <cp:lastModifiedBy>Li, Brian (New Taipei City)</cp:lastModifiedBy>
  <cp:lastPrinted>2024-03-31T16:16:57Z</cp:lastPrinted>
  <dcterms:created xsi:type="dcterms:W3CDTF">1998-08-27T01:38:50Z</dcterms:created>
  <dcterms:modified xsi:type="dcterms:W3CDTF">2024-10-08T03:21:22Z</dcterms:modified>
</cp:coreProperties>
</file>